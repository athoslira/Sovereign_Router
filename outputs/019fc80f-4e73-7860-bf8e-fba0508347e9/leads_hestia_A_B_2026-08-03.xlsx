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7a535ad1b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adf3d82b2dd466f"/>
    <x:sheet xmlns:r="http://schemas.openxmlformats.org/officeDocument/2006/relationships" name="Leads A-B" sheetId="2" r:id="R4804d29ee1a84a11"/>
    <x:sheet xmlns:r="http://schemas.openxmlformats.org/officeDocument/2006/relationships" name="Critérios e método" sheetId="3" r:id="Ref542b6fbc554860"/>
    <x:sheet xmlns:r="http://schemas.openxmlformats.org/officeDocument/2006/relationships" name="Exclusões aplicadas" sheetId="4" r:id="R93ac3f8cd91644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E293B"/>
      <x:name val="Aptos"/>
    </x:font>
    <x:font>
      <x:sz val="10"/>
      <x:color rgb="FF1E293B"/>
      <x:name val="Aptos"/>
    </x:font>
    <x:font>
      <x:b/>
      <x:sz val="20"/>
      <x:color rgb="FFFFFFFF"/>
      <x:name val="Carlito"/>
    </x:font>
    <x:font>
      <x:i/>
      <x:sz val="11"/>
      <x:color rgb="FF17324D"/>
      <x:name val="Carlito"/>
    </x:font>
    <x:font>
      <x:b/>
      <x:sz val="11"/>
      <x:color rgb="FF3F2B00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4"/>
      </x:patternFill>
    </x:fill>
    <x:fill>
      <x:patternFill patternType="solid">
        <x:fgColor rgb="FF0F766E"/>
      </x:patternFill>
    </x:fill>
    <x:fill>
      <x:patternFill patternType="solid">
        <x:fgColor rgb="FFD8A23A"/>
      </x:patternFill>
    </x:fill>
    <x:fill>
      <x:patternFill patternType="solid">
        <x:fgColor rgb="FFF4F7FA"/>
      </x:patternFill>
    </x:fill>
    <x:fill>
      <x:patternFill patternType="solid">
        <x:fgColor rgb="FFB42318"/>
      </x:patternFill>
    </x:fill>
    <x:fill>
      <x:patternFill patternType="solid">
        <x:fgColor rgb="FFFCE8E6"/>
      </x:patternFill>
    </x:fill>
  </x:fills>
  <x:borders count="19">
    <x:border/>
    <x:border>
      <x:left style="thin">
        <x:color rgb="FF17324D"/>
      </x:left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left style="thin">
        <x:color rgb="FFD7DEE7"/>
      </x:left>
      <x:bottom style="thin">
        <x:color rgb="FFD7DEE7"/>
      </x:bottom>
    </x:border>
    <x:border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left style="thin">
        <x:color rgb="FFF0B4AE"/>
      </x:left>
      <x:top style="thin">
        <x:color rgb="FFF0B4AE"/>
      </x:top>
    </x:border>
    <x:border>
      <x:top style="thin">
        <x:color rgb="FFF0B4AE"/>
      </x:top>
    </x:border>
    <x:border>
      <x:right style="thin">
        <x:color rgb="FFF0B4AE"/>
      </x:right>
      <x:top style="thin">
        <x:color rgb="FFF0B4AE"/>
      </x:top>
    </x:border>
    <x:border>
      <x:left style="thin">
        <x:color rgb="FFF0B4AE"/>
      </x:left>
    </x:border>
    <x:border>
      <x:right style="thin">
        <x:color rgb="FFF0B4AE"/>
      </x:right>
    </x:border>
    <x:border>
      <x:left style="thin">
        <x:color rgb="FFF0B4AE"/>
      </x:left>
      <x:bottom style="thin">
        <x:color rgb="FFF0B4AE"/>
      </x:bottom>
    </x:border>
    <x:border>
      <x:bottom style="thin">
        <x:color rgb="FFF0B4AE"/>
      </x:bottom>
    </x:border>
    <x:border>
      <x:right style="thin">
        <x:color rgb="FFF0B4AE"/>
      </x:right>
      <x:bottom style="thin">
        <x:color rgb="FFF0B4AE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horizontal="center"/>
    </x:xf>
    <x:xf numFmtId="20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 applyAlignment="1">
      <x:alignment wrapText="1"/>
    </x:xf>
    <x:xf numFmtId="200" fontId="3" fillId="0" borderId="2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1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wrapText="1"/>
    </x:xf>
    <x:xf numFmtId="0" fontId="0" fillId="8" borderId="13" xfId="0" applyNumberFormat="1" applyFont="1" applyFill="1" applyBorder="1" applyAlignment="1">
      <x:alignment wrapText="1"/>
    </x:xf>
    <x:xf numFmtId="0" fontId="0" fillId="8" borderId="14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wrapText="1"/>
    </x:xf>
    <x:xf numFmtId="0" fontId="0" fillId="8" borderId="17" xfId="0" applyNumberFormat="1" applyFont="1" applyFill="1" applyBorder="1" applyAlignment="1">
      <x:alignment wrapText="1"/>
    </x:xf>
    <x:xf numFmtId="0" fontId="0" fillId="8" borderId="18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5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top" wrapText="1"/>
    </x:xf>
    <x:xf numFmtId="0" fontId="0" fillId="8" borderId="17" xfId="0" applyNumberFormat="1" applyFont="1" applyFill="1" applyBorder="1" applyAlignment="1">
      <x:alignment vertical="top" wrapText="1"/>
    </x:xf>
    <x:xf numFmtId="0" fontId="0" fillId="8" borderId="18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6" fillId="5" borderId="2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B5B54"/>
      </x:font>
      <x:fill>
        <x:patternFill patternType="solid">
          <x:bgColor rgb="FFDDF3EF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8fa7e7aaf34107" /><Relationship Type="http://schemas.openxmlformats.org/officeDocument/2006/relationships/theme" Target="/xl/theme/theme1.xml" Id="R95b22d60f9834723" /><Relationship Type="http://schemas.openxmlformats.org/officeDocument/2006/relationships/sharedStrings" Target="/xl/sharedStrings.xml" Id="Rd00237d859be4f39" /><Relationship Type="http://schemas.openxmlformats.org/officeDocument/2006/relationships/worksheet" Target="/xl/worksheets/sheet1.xml" Id="R3adf3d82b2dd466f" /><Relationship Type="http://schemas.openxmlformats.org/officeDocument/2006/relationships/worksheet" Target="/xl/worksheets/sheet2.xml" Id="R4804d29ee1a84a11" /><Relationship Type="http://schemas.openxmlformats.org/officeDocument/2006/relationships/worksheet" Target="/xl/worksheets/sheet3.xml" Id="Ref542b6fbc554860" /><Relationship Type="http://schemas.openxmlformats.org/officeDocument/2006/relationships/worksheet" Target="/xl/worksheets/sheet4.xml" Id="R93ac3f8cd91644be" /></Relationships>
</file>

<file path=xl/tables/table1.xml><?xml version="1.0" encoding="utf-8"?>
<x:table xmlns:x="http://schemas.openxmlformats.org/spreadsheetml/2006/main" id="1" name="LeadsHestiaAB" displayName="LeadsHestiaAB" ref="A1:S101" headerRowCount="1" totalsRowCount="0" totalsRowShown="0">
  <x:tableColumns count="19">
    <x:tableColumn id="1" name="Rank"/>
    <x:tableColumn id="2" name="Grupo"/>
    <x:tableColumn id="3" name="Score"/>
    <x:tableColumn id="4" name="Empresa"/>
    <x:tableColumn id="5" name="Segmento"/>
    <x:tableColumn id="6" name="Cidade"/>
    <x:tableColumn id="7" name="UF"/>
    <x:tableColumn id="8" name="Decisor"/>
    <x:tableColumn id="9" name="Cargo"/>
    <x:tableColumn id="10" name="Contato público"/>
    <x:tableColumn id="11" name="Tipo de contato"/>
    <x:tableColumn id="12" name="Confiança de receita"/>
    <x:tableColumn id="13" name="Faixa mensal estimada"/>
    <x:tableColumn id="14" name="Sinal de porte/recorrência"/>
    <x:tableColumn id="15" name="Checagem pública de CX/CS"/>
    <x:tableColumn id="16" name="Próxima ação"/>
    <x:tableColumn id="17" name="Fonte principal"/>
    <x:tableColumn id="18" name="Data da pesquisa"/>
    <x:tableColumn id="1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3f02c84beb47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3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5" t="str">
        <x:v>Leads Héstia — Grupos A e B</x:v>
      </x:c>
      <x:c r="B1" s="15"/>
      <x:c r="C1" s="15"/>
      <x:c r="D1" s="15"/>
      <x:c r="E1" s="15"/>
      <x:c r="F1" s="15"/>
      <x:c r="G1" s="15"/>
      <x:c r="H1" s="15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18" t="str">
        <x:v>100 empresas novas, excluindo todos os nomes já citados no relatório quinzenal de 30/07/2026</x:v>
      </x:c>
      <x:c r="B3" s="18"/>
      <x:c r="C3" s="18"/>
      <x:c r="D3" s="18"/>
      <x:c r="E3" s="18"/>
      <x:c r="F3" s="18"/>
      <x:c r="G3" s="18"/>
      <x:c r="H3" s="18"/>
    </x:row>
    <x:row r="5">
      <x:c r="A5" s="21" t="str">
        <x:v>Indicador</x:v>
      </x:c>
      <x:c r="B5" s="21" t="str">
        <x:v>Valor</x:v>
      </x:c>
      <x:c r="D5" s="21" t="str">
        <x:v>Segmento</x:v>
      </x:c>
      <x:c r="E5" s="21" t="str">
        <x:v>Qtd.</x:v>
      </x:c>
    </x:row>
    <x:row r="6">
      <x:c r="A6" s="22" t="str">
        <x:v>Total de leads</x:v>
      </x:c>
      <x:c r="B6" s="22" t="n">
        <x:f>COUNTA('Leads A-B'!D2:D101)</x:f>
        <x:v>100</x:v>
      </x:c>
      <x:c r="D6" s="22" t="str">
        <x:v>Contabilidade/BPO</x:v>
      </x:c>
      <x:c r="E6" s="22" t="n">
        <x:f>COUNTA('Leads A-B'!D2:D31)</x:f>
        <x:v>30</x:v>
      </x:c>
    </x:row>
    <x:row r="7">
      <x:c r="A7" s="22" t="str">
        <x:v>Grupo A</x:v>
      </x:c>
      <x:c r="B7" s="22" t="n">
        <x:f>COUNTIF('Leads A-B'!B2:B101,"A")</x:f>
        <x:v>28</x:v>
      </x:c>
      <x:c r="D7" s="22" t="str">
        <x:v>RH e recrutamento</x:v>
      </x:c>
      <x:c r="E7" s="22" t="n">
        <x:f>COUNTA('Leads A-B'!D32:D46)</x:f>
        <x:v>15</x:v>
      </x:c>
    </x:row>
    <x:row r="8">
      <x:c r="A8" s="22" t="str">
        <x:v>Grupo B</x:v>
      </x:c>
      <x:c r="B8" s="22" t="n">
        <x:f>COUNTIF('Leads A-B'!B2:B101,"B")</x:f>
        <x:v>72</x:v>
      </x:c>
      <x:c r="D8" s="22" t="str">
        <x:v>Marketing</x:v>
      </x:c>
      <x:c r="E8" s="22" t="n">
        <x:f>COUNTA('Leads A-B'!D47:D66)</x:f>
        <x:v>20</x:v>
      </x:c>
    </x:row>
    <x:row r="9">
      <x:c r="D9" s="22" t="str">
        <x:v>Software/tecnologia</x:v>
      </x:c>
      <x:c r="E9" s="22" t="n">
        <x:f>COUNTA('Leads A-B'!D67:D86)</x:f>
        <x:v>20</x:v>
      </x:c>
    </x:row>
    <x:row r="10">
      <x:c r="D10" s="22" t="str">
        <x:v>Engenharia/ambiental/consultoria</x:v>
      </x:c>
      <x:c r="E10" s="22" t="n">
        <x:f>COUNTA('Leads A-B'!D87:D101)</x:f>
        <x:v>15</x:v>
      </x:c>
    </x:row>
    <x:row r="11">
      <x:c r="A11" s="24" t="str">
        <x:v>Como usar</x:v>
      </x:c>
      <x:c r="B11" s="24"/>
      <x:c r="C11" s="24"/>
      <x:c r="D11" s="24"/>
      <x:c r="E11" s="24"/>
      <x:c r="F11" s="24"/>
      <x:c r="G11" s="24"/>
      <x:c r="H11" s="24"/>
    </x:row>
    <x:row r="12" ht="28" customHeight="1">
      <x:c r="A12" s="44" t="str">
        <x:v>1) Priorize o Grupo A e confirme, na primeira conversa, a faixa de faturamento e se existe estrutura dedicada de CX/CS/atendimento. 2) No Grupo B, confirme primeiro o acesso ao decisor. 3) Telefones e e-mails foram encontrados em fontes públicas e não foram testados por ligação. 4) A faixa de faturamento é um proxy baseado em porte, ticket, equipe, tempo de mercado e recorrência — não é dado contábil confirmado. 5) A ausência de CX/CS é uma checagem negativa nas fontes consultadas, não uma garantia.</x:v>
      </x:c>
      <x:c r="B12" s="45"/>
      <x:c r="C12" s="45"/>
      <x:c r="D12" s="45"/>
      <x:c r="E12" s="45"/>
      <x:c r="F12" s="45"/>
      <x:c r="G12" s="45"/>
      <x:c r="H12" s="46"/>
    </x:row>
    <x:row r="13" ht="28" customHeight="1">
      <x:c r="A13" s="47"/>
      <x:c r="B13" s="48"/>
      <x:c r="C13" s="48"/>
      <x:c r="D13" s="48"/>
      <x:c r="E13" s="48"/>
      <x:c r="F13" s="48"/>
      <x:c r="G13" s="48"/>
      <x:c r="H13" s="49"/>
    </x:row>
    <x:row r="14" ht="28" customHeight="1">
      <x:c r="A14" s="47"/>
      <x:c r="B14" s="48"/>
      <x:c r="C14" s="48"/>
      <x:c r="D14" s="48"/>
      <x:c r="E14" s="48"/>
      <x:c r="F14" s="48"/>
      <x:c r="G14" s="48"/>
      <x:c r="H14" s="49"/>
    </x:row>
    <x:row r="15" ht="28" customHeight="1">
      <x:c r="A15" s="47"/>
      <x:c r="B15" s="48"/>
      <x:c r="C15" s="48"/>
      <x:c r="D15" s="48"/>
      <x:c r="E15" s="48"/>
      <x:c r="F15" s="48"/>
      <x:c r="G15" s="48"/>
      <x:c r="H15" s="49"/>
    </x:row>
    <x:row r="16" ht="28" customHeight="1">
      <x:c r="A16" s="47"/>
      <x:c r="B16" s="48"/>
      <x:c r="C16" s="48"/>
      <x:c r="D16" s="48"/>
      <x:c r="E16" s="48"/>
      <x:c r="F16" s="48"/>
      <x:c r="G16" s="48"/>
      <x:c r="H16" s="49"/>
    </x:row>
    <x:row r="17" ht="28" customHeight="1">
      <x:c r="A17" s="50"/>
      <x:c r="B17" s="51"/>
      <x:c r="C17" s="51"/>
      <x:c r="D17" s="51"/>
      <x:c r="E17" s="51"/>
      <x:c r="F17" s="51"/>
      <x:c r="G17" s="51"/>
      <x:c r="H17" s="52"/>
    </x:row>
    <x:row r="19">
      <x:c r="A19" s="54" t="str">
        <x:v>Alertas de validação</x:v>
      </x:c>
      <x:c r="B19" s="54"/>
      <x:c r="C19" s="54"/>
      <x:c r="D19" s="54"/>
      <x:c r="E19" s="54"/>
      <x:c r="F19" s="54"/>
      <x:c r="G19" s="54"/>
      <x:c r="H19" s="54"/>
    </x:row>
    <x:row r="20" ht="28" customHeight="1">
      <x:c r="A20" s="73" t="str">
        <x:v>Antes de prospectar, revise os casos cuja fonte menciona operação internacional, 30+ profissionais, 300+ clientes ou longa carteira — eles podem estar acima do teto de R$200 mil/mês. Também confirme empresas muito enxutas, pois podem estar abaixo de R$100 mil/mês. A planilha deixa esses riscos explícitos na coluna Sinal de porte/recorrência.</x:v>
      </x:c>
      <x:c r="B20" s="74"/>
      <x:c r="C20" s="74"/>
      <x:c r="D20" s="74"/>
      <x:c r="E20" s="74"/>
      <x:c r="F20" s="74"/>
      <x:c r="G20" s="74"/>
      <x:c r="H20" s="75"/>
    </x:row>
    <x:row r="21" ht="28" customHeight="1">
      <x:c r="A21" s="76"/>
      <x:c r="B21" s="77"/>
      <x:c r="C21" s="77"/>
      <x:c r="D21" s="77"/>
      <x:c r="E21" s="77"/>
      <x:c r="F21" s="77"/>
      <x:c r="G21" s="77"/>
      <x:c r="H21" s="78"/>
    </x:row>
    <x:row r="22" ht="28" customHeight="1">
      <x:c r="A22" s="76"/>
      <x:c r="B22" s="77"/>
      <x:c r="C22" s="77"/>
      <x:c r="D22" s="77"/>
      <x:c r="E22" s="77"/>
      <x:c r="F22" s="77"/>
      <x:c r="G22" s="77"/>
      <x:c r="H22" s="78"/>
    </x:row>
    <x:row r="23" ht="28" customHeight="1">
      <x:c r="A23" s="76"/>
      <x:c r="B23" s="77"/>
      <x:c r="C23" s="77"/>
      <x:c r="D23" s="77"/>
      <x:c r="E23" s="77"/>
      <x:c r="F23" s="77"/>
      <x:c r="G23" s="77"/>
      <x:c r="H23" s="78"/>
    </x:row>
    <x:row r="24" ht="28" customHeight="1">
      <x:c r="A24" s="79"/>
      <x:c r="B24" s="80"/>
      <x:c r="C24" s="80"/>
      <x:c r="D24" s="80"/>
      <x:c r="E24" s="80"/>
      <x:c r="F24" s="80"/>
      <x:c r="G24" s="80"/>
      <x:c r="H24" s="81"/>
    </x:row>
  </x:sheetData>
  <x:mergeCells>
    <x:mergeCell ref="A1:H2"/>
    <x:mergeCell ref="A3:H3"/>
    <x:mergeCell ref="A11:H11"/>
    <x:mergeCell ref="A12:H17"/>
    <x:mergeCell ref="A19:H19"/>
    <x:mergeCell ref="A20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7" hidden="0" customWidth="1"/>
    <x:col min="3" max="3" width="7" hidden="0" customWidth="1"/>
    <x:col min="4" max="4" width="31" hidden="0" customWidth="1"/>
    <x:col min="5" max="5" width="22" hidden="0" customWidth="1"/>
    <x:col min="6" max="6" width="18" hidden="0" customWidth="1"/>
    <x:col min="7" max="7" width="7" hidden="0" customWidth="1"/>
    <x:col min="8" max="8" width="27" hidden="0" customWidth="1"/>
    <x:col min="9" max="9" width="28" hidden="0" customWidth="1"/>
    <x:col min="10" max="10" width="23" hidden="0" customWidth="1"/>
    <x:col min="11" max="11" width="16" hidden="0" customWidth="1"/>
    <x:col min="12" max="12" width="16" hidden="0" customWidth="1"/>
    <x:col min="13" max="13" width="22" hidden="0" customWidth="1"/>
    <x:col min="14" max="14" width="38" hidden="0" customWidth="1"/>
    <x:col min="15" max="15" width="39" hidden="0" customWidth="1"/>
    <x:col min="16" max="16" width="42" hidden="0" customWidth="1"/>
    <x:col min="17" max="17" width="48" hidden="0" customWidth="1"/>
    <x:col min="18" max="18" width="13" hidden="0" customWidth="1"/>
    <x:col min="19" max="19" width="16" hidden="0" customWidth="1"/>
  </x:cols>
  <x:sheetData>
    <x:row r="1" ht="31" customHeight="1">
      <x:c r="A1" s="6" t="str">
        <x:v>Rank</x:v>
      </x:c>
      <x:c r="B1" s="6" t="str">
        <x:v>Grupo</x:v>
      </x:c>
      <x:c r="C1" s="6" t="str">
        <x:v>Score</x:v>
      </x:c>
      <x:c r="D1" s="6" t="str">
        <x:v>Empresa</x:v>
      </x:c>
      <x:c r="E1" s="6" t="str">
        <x:v>Segmento</x:v>
      </x:c>
      <x:c r="F1" s="6" t="str">
        <x:v>Cidade</x:v>
      </x:c>
      <x:c r="G1" s="6" t="str">
        <x:v>UF</x:v>
      </x:c>
      <x:c r="H1" s="6" t="str">
        <x:v>Decisor</x:v>
      </x:c>
      <x:c r="I1" s="6" t="str">
        <x:v>Cargo</x:v>
      </x:c>
      <x:c r="J1" s="6" t="str">
        <x:v>Contato público</x:v>
      </x:c>
      <x:c r="K1" s="6" t="str">
        <x:v>Tipo de contato</x:v>
      </x:c>
      <x:c r="L1" s="6" t="str">
        <x:v>Confiança de receita</x:v>
      </x:c>
      <x:c r="M1" s="6" t="str">
        <x:v>Faixa mensal estimada</x:v>
      </x:c>
      <x:c r="N1" s="6" t="str">
        <x:v>Sinal de porte/recorrência</x:v>
      </x:c>
      <x:c r="O1" s="6" t="str">
        <x:v>Checagem pública de CX/CS</x:v>
      </x:c>
      <x:c r="P1" s="6" t="str">
        <x:v>Próxima ação</x:v>
      </x:c>
      <x:c r="Q1" s="6" t="str">
        <x:v>Fonte principal</x:v>
      </x:c>
      <x:c r="R1" s="6" t="str">
        <x:v>Data da pesquisa</x:v>
      </x:c>
      <x:c r="S1" s="6" t="str">
        <x:v>Status</x:v>
      </x:c>
    </x:row>
    <x:row r="2" ht="31" customHeight="1">
      <x:c r="A2" s="11" t="n">
        <x:v>1</x:v>
      </x:c>
      <x:c r="B2" s="11" t="str">
        <x:f>IF(AND(C2&gt;=6,K2="Direto público"),"A",IF(C2&gt;=5,"B","Revisar"))</x:f>
        <x:v>A</x:v>
      </x:c>
      <x:c r="C2" s="11" t="n">
        <x:f>2+IF(K2="Direto público",2,1)+2</x:f>
        <x:v>6</x:v>
      </x:c>
      <x:c r="D2" s="12" t="str">
        <x:v>Master Contabilidade e Certificados Digitais</x:v>
      </x:c>
      <x:c r="E2" s="12" t="str">
        <x:v>Contabilidade/BPO</x:v>
      </x:c>
      <x:c r="F2" s="12" t="str">
        <x:v>Brasília</x:v>
      </x:c>
      <x:c r="G2" s="12" t="str">
        <x:v>DF</x:v>
      </x:c>
      <x:c r="H2" s="12" t="str">
        <x:v>Leonardo Castro de Sousa</x:v>
      </x:c>
      <x:c r="I2" s="12" t="str">
        <x:v>Sócio-administrador</x:v>
      </x:c>
      <x:c r="J2" s="12" t="str">
        <x:v>(61) 98141-0818</x:v>
      </x:c>
      <x:c r="K2" s="12" t="str">
        <x:v>Direto público</x:v>
      </x:c>
      <x:c r="L2" s="12" t="str">
        <x:v>Média</x:v>
      </x:c>
      <x:c r="M2" s="12" t="str">
        <x:v>R$ 150–200 mil (proxy)</x:v>
      </x:c>
      <x:c r="N2" s="12" t="str">
        <x:v>EPP ativa; serviços contábeis recorrentes</x:v>
      </x:c>
      <x:c r="O2" s="12" t="str">
        <x:v>Sem estrutura dedicada localizada nas fontes consultadas; validar antes do contato</x:v>
      </x:c>
      <x:c r="P2" s="12" t="str">
        <x:v>Contatar o decisor e validar faturamento + ausência de CX/CS</x:v>
      </x:c>
      <x:c r="Q2" s="12" t="str">
        <x:v>https://casadosdados.com.br/solucao/cnpj/master-contabilidade-eireli-28824063000181</x:v>
      </x:c>
      <x:c r="R2" s="13" t="n">
        <x:v>46237.625</x:v>
      </x:c>
      <x:c r="S2" s="12" t="str">
        <x:v>Não iniciado</x:v>
      </x:c>
    </x:row>
    <x:row r="3" ht="31" customHeight="1">
      <x:c r="A3" s="11" t="n">
        <x:v>2</x:v>
      </x:c>
      <x:c r="B3" s="11" t="str">
        <x:f>IF(AND(C3&gt;=6,K3="Direto público"),"A",IF(C3&gt;=5,"B","Revisar"))</x:f>
        <x:v>B</x:v>
      </x:c>
      <x:c r="C3" s="11" t="n">
        <x:f>2+IF(K3="Direto público",2,1)+2</x:f>
        <x:v>5</x:v>
      </x:c>
      <x:c r="D3" s="12" t="str">
        <x:v>MIR Contábil</x:v>
      </x:c>
      <x:c r="E3" s="12" t="str">
        <x:v>Contabilidade/BPO</x:v>
      </x:c>
      <x:c r="F3" s="12" t="str">
        <x:v>São Paulo</x:v>
      </x:c>
      <x:c r="G3" s="12" t="str">
        <x:v>SP</x:v>
      </x:c>
      <x:c r="H3" s="12" t="str">
        <x:v>Amaury de Souza Amaral</x:v>
      </x:c>
      <x:c r="I3" s="12" t="str">
        <x:v>Fundador</x:v>
      </x:c>
      <x:c r="J3" s="12" t="str">
        <x:v>Site / formulário de contato</x:v>
      </x:c>
      <x:c r="K3" s="12" t="str">
        <x:v>Institucional</x:v>
      </x:c>
      <x:c r="L3" s="12" t="str">
        <x:v>Média</x:v>
      </x:c>
      <x:c r="M3" s="12" t="str">
        <x:v>R$ 150–200 mil (proxy)</x:v>
      </x:c>
      <x:c r="N3" s="12" t="str">
        <x:v>10–49 profissionais em diretório setorial; fundada em 1994</x:v>
      </x:c>
      <x:c r="O3" s="12" t="str">
        <x:v>Sem estrutura dedicada localizada nas fontes consultadas; validar antes do contato</x:v>
      </x:c>
      <x:c r="P3" s="12" t="str">
        <x:v>Confirmar acesso ao decisor; depois validar faturamento + CX/CS</x:v>
      </x:c>
      <x:c r="Q3" s="12" t="str">
        <x:v>https://mircontabil.com.br/sobre/</x:v>
      </x:c>
      <x:c r="R3" s="13" t="n">
        <x:v>46237.625</x:v>
      </x:c>
      <x:c r="S3" s="12" t="str">
        <x:v>Não iniciado</x:v>
      </x:c>
    </x:row>
    <x:row r="4" ht="31" customHeight="1">
      <x:c r="A4" s="11" t="n">
        <x:v>3</x:v>
      </x:c>
      <x:c r="B4" s="11" t="str">
        <x:f>IF(AND(C4&gt;=6,K4="Direto público"),"A",IF(C4&gt;=5,"B","Revisar"))</x:f>
        <x:v>B</x:v>
      </x:c>
      <x:c r="C4" s="11" t="n">
        <x:f>2+IF(K4="Direto público",2,1)+2</x:f>
        <x:v>5</x:v>
      </x:c>
      <x:c r="D4" s="12" t="str">
        <x:v>Venegas Contábil</x:v>
      </x:c>
      <x:c r="E4" s="12" t="str">
        <x:v>Contabilidade/BPO</x:v>
      </x:c>
      <x:c r="F4" s="12" t="str">
        <x:v>São Paulo</x:v>
      </x:c>
      <x:c r="G4" s="12" t="str">
        <x:v>SP</x:v>
      </x:c>
      <x:c r="H4" s="12" t="str">
        <x:v>Marco Antonio Venegas</x:v>
      </x:c>
      <x:c r="I4" s="12" t="str">
        <x:v>Sócio-administrador</x:v>
      </x:c>
      <x:c r="J4" s="12" t="str">
        <x:v>(11) 3667-8241</x:v>
      </x:c>
      <x:c r="K4" s="12" t="str">
        <x:v>Institucional</x:v>
      </x:c>
      <x:c r="L4" s="12" t="str">
        <x:v>Média</x:v>
      </x:c>
      <x:c r="M4" s="12" t="str">
        <x:v>R$ 150–200 mil (proxy)</x:v>
      </x:c>
      <x:c r="N4" s="12" t="str">
        <x:v>10–49 profissionais; operação contábil recorrente</x:v>
      </x:c>
      <x:c r="O4" s="12" t="str">
        <x:v>Sem estrutura dedicada localizada nas fontes consultadas; validar antes do contato</x:v>
      </x:c>
      <x:c r="P4" s="12" t="str">
        <x:v>Confirmar acesso ao decisor; depois validar faturamento + CX/CS</x:v>
      </x:c>
      <x:c r="Q4" s="12" t="str">
        <x:v>https://www.econodata.com.br/consulta-empresa/05446239000103-venegas-contabil-sociedade-simples</x:v>
      </x:c>
      <x:c r="R4" s="13" t="n">
        <x:v>46237.625</x:v>
      </x:c>
      <x:c r="S4" s="12" t="str">
        <x:v>Não iniciado</x:v>
      </x:c>
    </x:row>
    <x:row r="5" ht="31" customHeight="1">
      <x:c r="A5" s="11" t="n">
        <x:v>4</x:v>
      </x:c>
      <x:c r="B5" s="11" t="str">
        <x:f>IF(AND(C5&gt;=6,K5="Direto público"),"A",IF(C5&gt;=5,"B","Revisar"))</x:f>
        <x:v>B</x:v>
      </x:c>
      <x:c r="C5" s="11" t="n">
        <x:f>2+IF(K5="Direto público",2,1)+2</x:f>
        <x:v>5</x:v>
      </x:c>
      <x:c r="D5" s="12" t="str">
        <x:v>NACEF Contabilidade</x:v>
      </x:c>
      <x:c r="E5" s="12" t="str">
        <x:v>Contabilidade/BPO</x:v>
      </x:c>
      <x:c r="F5" s="12" t="str">
        <x:v>São Paulo</x:v>
      </x:c>
      <x:c r="G5" s="12" t="str">
        <x:v>SP</x:v>
      </x:c>
      <x:c r="H5" s="12" t="str">
        <x:v>João de Oliveira Neto</x:v>
      </x:c>
      <x:c r="I5" s="12" t="str">
        <x:v>Sócio-administrador</x:v>
      </x:c>
      <x:c r="J5" s="12" t="str">
        <x:v>(11) 3205-4123</x:v>
      </x:c>
      <x:c r="K5" s="12" t="str">
        <x:v>Institucional</x:v>
      </x:c>
      <x:c r="L5" s="12" t="str">
        <x:v>Média</x:v>
      </x:c>
      <x:c r="M5" s="12" t="str">
        <x:v>R$ 150–200 mil (proxy)</x:v>
      </x:c>
      <x:c r="N5" s="12" t="str">
        <x:v>Escritório ativo e recorrente; sócio identificado</x:v>
      </x:c>
      <x:c r="O5" s="12" t="str">
        <x:v>Sem estrutura dedicada localizada nas fontes consultadas; validar antes do contato</x:v>
      </x:c>
      <x:c r="P5" s="12" t="str">
        <x:v>Confirmar acesso ao decisor; depois validar faturamento + CX/CS</x:v>
      </x:c>
      <x:c r="Q5" s="12" t="str">
        <x:v>https://empresadois.com.br/cnpj/nacef-aspiral-contabilidade-02738328000135</x:v>
      </x:c>
      <x:c r="R5" s="13" t="n">
        <x:v>46237.625</x:v>
      </x:c>
      <x:c r="S5" s="12" t="str">
        <x:v>Não iniciado</x:v>
      </x:c>
    </x:row>
    <x:row r="6" ht="31" customHeight="1">
      <x:c r="A6" s="11" t="n">
        <x:v>5</x:v>
      </x:c>
      <x:c r="B6" s="11" t="str">
        <x:f>IF(AND(C6&gt;=6,K6="Direto público"),"A",IF(C6&gt;=5,"B","Revisar"))</x:f>
        <x:v>B</x:v>
      </x:c>
      <x:c r="C6" s="11" t="n">
        <x:f>3+IF(K6="Direto público",2,1)+2</x:f>
        <x:v>6</x:v>
      </x:c>
      <x:c r="D6" s="12" t="str">
        <x:v>Prime &amp; Llonk Contabilidade</x:v>
      </x:c>
      <x:c r="E6" s="12" t="str">
        <x:v>Contabilidade/BPO</x:v>
      </x:c>
      <x:c r="F6" s="12" t="str">
        <x:v>Rio de Janeiro</x:v>
      </x:c>
      <x:c r="G6" s="12" t="str">
        <x:v>RJ</x:v>
      </x:c>
      <x:c r="H6" s="12" t="str">
        <x:v>Fabio Coupey Correia</x:v>
      </x:c>
      <x:c r="I6" s="12" t="str">
        <x:v>Sócio-administrador</x:v>
      </x:c>
      <x:c r="J6" s="12" t="str">
        <x:v>(21) 3553-6840</x:v>
      </x:c>
      <x:c r="K6" s="12" t="str">
        <x:v>Institucional</x:v>
      </x:c>
      <x:c r="L6" s="12" t="str">
        <x:v>Alta</x:v>
      </x:c>
      <x:c r="M6" s="12" t="str">
        <x:v>R$ 150–200 mil (proxy)</x:v>
      </x:c>
      <x:c r="N6" s="12" t="str">
        <x:v>EPP; 11–50 profissionais; outsourcing contábil/fiscal/folha</x:v>
      </x:c>
      <x:c r="O6" s="12" t="str">
        <x:v>Sem estrutura dedicada localizada nas fontes consultadas; validar antes do contato</x:v>
      </x:c>
      <x:c r="P6" s="12" t="str">
        <x:v>Confirmar acesso ao decisor; depois validar faturamento + CX/CS</x:v>
      </x:c>
      <x:c r="Q6" s="12" t="str">
        <x:v>https://www.econodata.com.br/consulta-empresa/01016176000102-prime-llonk-contabilidade-consultoria-empresarial</x:v>
      </x:c>
      <x:c r="R6" s="13" t="n">
        <x:v>46237.625</x:v>
      </x:c>
      <x:c r="S6" s="12" t="str">
        <x:v>Não iniciado</x:v>
      </x:c>
    </x:row>
    <x:row r="7" ht="31" customHeight="1">
      <x:c r="A7" s="11" t="n">
        <x:v>6</x:v>
      </x:c>
      <x:c r="B7" s="11" t="str">
        <x:f>IF(AND(C7&gt;=6,K7="Direto público"),"A",IF(C7&gt;=5,"B","Revisar"))</x:f>
        <x:v>A</x:v>
      </x:c>
      <x:c r="C7" s="11" t="n">
        <x:f>2+IF(K7="Direto público",2,1)+2</x:f>
        <x:v>6</x:v>
      </x:c>
      <x:c r="D7" s="12" t="str">
        <x:v>SP Contábil / Silva Pinto</x:v>
      </x:c>
      <x:c r="E7" s="12" t="str">
        <x:v>Contabilidade/BPO</x:v>
      </x:c>
      <x:c r="F7" s="12" t="str">
        <x:v>São Paulo</x:v>
      </x:c>
      <x:c r="G7" s="12" t="str">
        <x:v>SP</x:v>
      </x:c>
      <x:c r="H7" s="12" t="str">
        <x:v>Flavio Silva Pinto</x:v>
      </x:c>
      <x:c r="I7" s="12" t="str">
        <x:v>Fundador e proprietário</x:v>
      </x:c>
      <x:c r="J7" s="12" t="str">
        <x:v>(11) 99982-6457</x:v>
      </x:c>
      <x:c r="K7" s="12" t="str">
        <x:v>Direto público</x:v>
      </x:c>
      <x:c r="L7" s="12" t="str">
        <x:v>Média</x:v>
      </x:c>
      <x:c r="M7" s="12" t="str">
        <x:v>R$ 150–200 mil (proxy)</x:v>
      </x:c>
      <x:c r="N7" s="12" t="str">
        <x:v>Assessoria contábil recorrente; fundador e celular publicados</x:v>
      </x:c>
      <x:c r="O7" s="12" t="str">
        <x:v>Sem estrutura dedicada localizada nas fontes consultadas; validar antes do contato</x:v>
      </x:c>
      <x:c r="P7" s="12" t="str">
        <x:v>Contatar o decisor e validar faturamento + ausência de CX/CS</x:v>
      </x:c>
      <x:c r="Q7" s="12" t="str">
        <x:v>https://spcontab.com.br/institucional/</x:v>
      </x:c>
      <x:c r="R7" s="13" t="n">
        <x:v>46237.625</x:v>
      </x:c>
      <x:c r="S7" s="12" t="str">
        <x:v>Não iniciado</x:v>
      </x:c>
    </x:row>
    <x:row r="8" ht="31" customHeight="1">
      <x:c r="A8" s="11" t="n">
        <x:v>7</x:v>
      </x:c>
      <x:c r="B8" s="11" t="str">
        <x:f>IF(AND(C8&gt;=6,K8="Direto público"),"A",IF(C8&gt;=5,"B","Revisar"))</x:f>
        <x:v>A</x:v>
      </x:c>
      <x:c r="C8" s="11" t="n">
        <x:f>3+IF(K8="Direto público",2,1)+2</x:f>
        <x:v>7</x:v>
      </x:c>
      <x:c r="D8" s="12" t="str">
        <x:v>Kaed Contabilidade</x:v>
      </x:c>
      <x:c r="E8" s="12" t="str">
        <x:v>Contabilidade/BPO</x:v>
      </x:c>
      <x:c r="F8" s="12" t="str">
        <x:v>São Paulo</x:v>
      </x:c>
      <x:c r="G8" s="12" t="str">
        <x:v>SP</x:v>
      </x:c>
      <x:c r="H8" s="12" t="str">
        <x:v>Edson Costa Gomes</x:v>
      </x:c>
      <x:c r="I8" s="12" t="str">
        <x:v>Sócio-administrador</x:v>
      </x:c>
      <x:c r="J8" s="12" t="str">
        <x:v>(11) 98941-7886</x:v>
      </x:c>
      <x:c r="K8" s="12" t="str">
        <x:v>Direto público</x:v>
      </x:c>
      <x:c r="L8" s="12" t="str">
        <x:v>Alta</x:v>
      </x:c>
      <x:c r="M8" s="12" t="str">
        <x:v>R$ 150–200 mil (proxy)</x:v>
      </x:c>
      <x:c r="N8" s="12" t="str">
        <x:v>EPP ativa; 20 anos; pacote mensal personalizado</x:v>
      </x:c>
      <x:c r="O8" s="12" t="str">
        <x:v>Sem estrutura dedicada localizada nas fontes consultadas; validar antes do contato</x:v>
      </x:c>
      <x:c r="P8" s="12" t="str">
        <x:v>Contatar o decisor e validar faturamento + ausência de CX/CS</x:v>
      </x:c>
      <x:c r="Q8" s="12" t="str">
        <x:v>https://www.econodata.com.br/consulta-empresa/08362475000130-kaed-assessoria-contabil-ltda</x:v>
      </x:c>
      <x:c r="R8" s="13" t="n">
        <x:v>46237.625</x:v>
      </x:c>
      <x:c r="S8" s="12" t="str">
        <x:v>Não iniciado</x:v>
      </x:c>
    </x:row>
    <x:row r="9" ht="31" customHeight="1">
      <x:c r="A9" s="11" t="n">
        <x:v>8</x:v>
      </x:c>
      <x:c r="B9" s="11" t="str">
        <x:f>IF(AND(C9&gt;=6,K9="Direto público"),"A",IF(C9&gt;=5,"B","Revisar"))</x:f>
        <x:v>A</x:v>
      </x:c>
      <x:c r="C9" s="11" t="n">
        <x:f>2+IF(K9="Direto público",2,1)+2</x:f>
        <x:v>6</x:v>
      </x:c>
      <x:c r="D9" s="12" t="str">
        <x:v>Gestão Contabilidade e Finanças</x:v>
      </x:c>
      <x:c r="E9" s="12" t="str">
        <x:v>Contabilidade/BPO</x:v>
      </x:c>
      <x:c r="F9" s="12" t="str">
        <x:v>Joinville</x:v>
      </x:c>
      <x:c r="G9" s="12" t="str">
        <x:v>SC</x:v>
      </x:c>
      <x:c r="H9" s="12" t="str">
        <x:v>Nelson Luis Boing</x:v>
      </x:c>
      <x:c r="I9" s="12" t="str">
        <x:v>Sócio-administrador</x:v>
      </x:c>
      <x:c r="J9" s="12" t="str">
        <x:v>(47) 99773-9640</x:v>
      </x:c>
      <x:c r="K9" s="12" t="str">
        <x:v>Direto público</x:v>
      </x:c>
      <x:c r="L9" s="12" t="str">
        <x:v>Média</x:v>
      </x:c>
      <x:c r="M9" s="12" t="str">
        <x:v>R$ 150–200 mil (proxy)</x:v>
      </x:c>
      <x:c r="N9" s="12" t="str">
        <x:v>Serviços contábeis e financeiros recorrentes; sócios identificados</x:v>
      </x:c>
      <x:c r="O9" s="12" t="str">
        <x:v>Sem estrutura dedicada localizada nas fontes consultadas; validar antes do contato</x:v>
      </x:c>
      <x:c r="P9" s="12" t="str">
        <x:v>Contatar o decisor e validar faturamento + ausência de CX/CS</x:v>
      </x:c>
      <x:c r="Q9" s="12" t="str">
        <x:v>https://gestaocont.com.br/</x:v>
      </x:c>
      <x:c r="R9" s="13" t="n">
        <x:v>46237.625</x:v>
      </x:c>
      <x:c r="S9" s="12" t="str">
        <x:v>Não iniciado</x:v>
      </x:c>
    </x:row>
    <x:row r="10" ht="31" customHeight="1">
      <x:c r="A10" s="11" t="n">
        <x:v>9</x:v>
      </x:c>
      <x:c r="B10" s="11" t="str">
        <x:f>IF(AND(C10&gt;=6,K10="Direto público"),"A",IF(C10&gt;=5,"B","Revisar"))</x:f>
        <x:v>A</x:v>
      </x:c>
      <x:c r="C10" s="11" t="n">
        <x:f>2+IF(K10="Direto público",2,1)+2</x:f>
        <x:v>6</x:v>
      </x:c>
      <x:c r="D10" s="12" t="str">
        <x:v>Contábil Rio</x:v>
      </x:c>
      <x:c r="E10" s="12" t="str">
        <x:v>Contabilidade/BPO</x:v>
      </x:c>
      <x:c r="F10" s="12" t="str">
        <x:v>Rio de Janeiro</x:v>
      </x:c>
      <x:c r="G10" s="12" t="str">
        <x:v>RJ</x:v>
      </x:c>
      <x:c r="H10" s="12" t="str">
        <x:v>Kyvya Revoredo</x:v>
      </x:c>
      <x:c r="I10" s="12" t="str">
        <x:v>Responsável / liderança</x:v>
      </x:c>
      <x:c r="J10" s="12" t="str">
        <x:v>(21) 99989-3943</x:v>
      </x:c>
      <x:c r="K10" s="12" t="str">
        <x:v>Direto público</x:v>
      </x:c>
      <x:c r="L10" s="12" t="str">
        <x:v>Média</x:v>
      </x:c>
      <x:c r="M10" s="12" t="str">
        <x:v>R$ 150–200 mil (proxy)</x:v>
      </x:c>
      <x:c r="N10" s="12" t="str">
        <x:v>Contabilidade empresarial recorrente e canal móvel público</x:v>
      </x:c>
      <x:c r="O10" s="12" t="str">
        <x:v>Sem estrutura dedicada localizada nas fontes consultadas; validar antes do contato</x:v>
      </x:c>
      <x:c r="P10" s="12" t="str">
        <x:v>Contatar o decisor e validar faturamento + ausência de CX/CS</x:v>
      </x:c>
      <x:c r="Q10" s="12" t="str">
        <x:v>https://contabilrio.com.br/</x:v>
      </x:c>
      <x:c r="R10" s="13" t="n">
        <x:v>46237.625</x:v>
      </x:c>
      <x:c r="S10" s="12" t="str">
        <x:v>Não iniciado</x:v>
      </x:c>
    </x:row>
    <x:row r="11" ht="31" customHeight="1">
      <x:c r="A11" s="11" t="n">
        <x:v>10</x:v>
      </x:c>
      <x:c r="B11" s="11" t="str">
        <x:f>IF(AND(C11&gt;=6,K11="Direto público"),"A",IF(C11&gt;=5,"B","Revisar"))</x:f>
        <x:v>B</x:v>
      </x:c>
      <x:c r="C11" s="11" t="n">
        <x:f>2+IF(K11="Direto público",2,1)+2</x:f>
        <x:v>5</x:v>
      </x:c>
      <x:c r="D11" s="12" t="str">
        <x:v>LAFS Contabilidade</x:v>
      </x:c>
      <x:c r="E11" s="12" t="str">
        <x:v>Contabilidade/BPO</x:v>
      </x:c>
      <x:c r="F11" s="12" t="str">
        <x:v>Rio de Janeiro</x:v>
      </x:c>
      <x:c r="G11" s="12" t="str">
        <x:v>RJ</x:v>
      </x:c>
      <x:c r="H11" s="12" t="str">
        <x:v>Pedro Jose Avon Brasil</x:v>
      </x:c>
      <x:c r="I11" s="12" t="str">
        <x:v>Sócio-administrador</x:v>
      </x:c>
      <x:c r="J11" s="12" t="str">
        <x:v>(21) 3806-3700</x:v>
      </x:c>
      <x:c r="K11" s="12" t="str">
        <x:v>Institucional</x:v>
      </x:c>
      <x:c r="L11" s="12" t="str">
        <x:v>Média</x:v>
      </x:c>
      <x:c r="M11" s="12" t="str">
        <x:v>R$ 150–200 mil (proxy)</x:v>
      </x:c>
      <x:c r="N11" s="12" t="str">
        <x:v>Operação com múltiplas unidades; validar teto de faturamento</x:v>
      </x:c>
      <x:c r="O11" s="12" t="str">
        <x:v>Sem estrutura dedicada localizada nas fontes consultadas; validar antes do contato</x:v>
      </x:c>
      <x:c r="P11" s="12" t="str">
        <x:v>Confirmar acesso ao decisor; depois validar faturamento + CX/CS</x:v>
      </x:c>
      <x:c r="Q11" s="12" t="str">
        <x:v>https://www.lafscontabilidade.com.br/empresa</x:v>
      </x:c>
      <x:c r="R11" s="13" t="n">
        <x:v>46237.625</x:v>
      </x:c>
      <x:c r="S11" s="12" t="str">
        <x:v>Não iniciado</x:v>
      </x:c>
    </x:row>
    <x:row r="12" ht="31" customHeight="1">
      <x:c r="A12" s="11" t="n">
        <x:v>11</x:v>
      </x:c>
      <x:c r="B12" s="11" t="str">
        <x:f>IF(AND(C12&gt;=6,K12="Direto público"),"A",IF(C12&gt;=5,"B","Revisar"))</x:f>
        <x:v>A</x:v>
      </x:c>
      <x:c r="C12" s="11" t="n">
        <x:f>3+IF(K12="Direto público",2,1)+2</x:f>
        <x:v>7</x:v>
      </x:c>
      <x:c r="D12" s="12" t="str">
        <x:v>Juscon Assessoria Contábil</x:v>
      </x:c>
      <x:c r="E12" s="12" t="str">
        <x:v>Contabilidade/BPO</x:v>
      </x:c>
      <x:c r="F12" s="12" t="str">
        <x:v>São Paulo</x:v>
      </x:c>
      <x:c r="G12" s="12" t="str">
        <x:v>SP</x:v>
      </x:c>
      <x:c r="H12" s="12" t="str">
        <x:v>Juraci José Pereira</x:v>
      </x:c>
      <x:c r="I12" s="12" t="str">
        <x:v>Sócio-fundador e CEO</x:v>
      </x:c>
      <x:c r="J12" s="12" t="str">
        <x:v>(11) 98434-8999</x:v>
      </x:c>
      <x:c r="K12" s="12" t="str">
        <x:v>Direto público</x:v>
      </x:c>
      <x:c r="L12" s="12" t="str">
        <x:v>Alta</x:v>
      </x:c>
      <x:c r="M12" s="12" t="str">
        <x:v>R$ 150–200 mil (proxy)</x:v>
      </x:c>
      <x:c r="N12" s="12" t="str">
        <x:v>EPP ativa; 10–49 profissionais; fundada em 1990</x:v>
      </x:c>
      <x:c r="O12" s="12" t="str">
        <x:v>Sem estrutura dedicada localizada nas fontes consultadas; validar antes do contato</x:v>
      </x:c>
      <x:c r="P12" s="12" t="str">
        <x:v>Contatar o decisor e validar faturamento + ausência de CX/CS</x:v>
      </x:c>
      <x:c r="Q12" s="12" t="str">
        <x:v>https://www.juscon.com.br/juscon/</x:v>
      </x:c>
      <x:c r="R12" s="13" t="n">
        <x:v>46237.625</x:v>
      </x:c>
      <x:c r="S12" s="12" t="str">
        <x:v>Não iniciado</x:v>
      </x:c>
    </x:row>
    <x:row r="13" ht="31" customHeight="1">
      <x:c r="A13" s="11" t="n">
        <x:v>12</x:v>
      </x:c>
      <x:c r="B13" s="11" t="str">
        <x:f>IF(AND(C13&gt;=6,K13="Direto público"),"A",IF(C13&gt;=5,"B","Revisar"))</x:f>
        <x:v>B</x:v>
      </x:c>
      <x:c r="C13" s="11" t="n">
        <x:f>3+IF(K13="Direto público",2,1)+2</x:f>
        <x:v>6</x:v>
      </x:c>
      <x:c r="D13" s="12" t="str">
        <x:v>Optimus Accounting</x:v>
      </x:c>
      <x:c r="E13" s="12" t="str">
        <x:v>Contabilidade/BPO</x:v>
      </x:c>
      <x:c r="F13" s="12" t="str">
        <x:v>São Paulo</x:v>
      </x:c>
      <x:c r="G13" s="12" t="str">
        <x:v>SP</x:v>
      </x:c>
      <x:c r="H13" s="12" t="str">
        <x:v>Jorge Osaka</x:v>
      </x:c>
      <x:c r="I13" s="12" t="str">
        <x:v>Sócio-administrador</x:v>
      </x:c>
      <x:c r="J13" s="12" t="str">
        <x:v>(11) 5082-2450</x:v>
      </x:c>
      <x:c r="K13" s="12" t="str">
        <x:v>Institucional</x:v>
      </x:c>
      <x:c r="L13" s="12" t="str">
        <x:v>Alta</x:v>
      </x:c>
      <x:c r="M13" s="12" t="str">
        <x:v>R$ 150–200 mil (proxy)</x:v>
      </x:c>
      <x:c r="N13" s="12" t="str">
        <x:v>EPP; 10–49 profissionais em diretório setorial</x:v>
      </x:c>
      <x:c r="O13" s="12" t="str">
        <x:v>Sem estrutura dedicada localizada nas fontes consultadas; validar antes do contato</x:v>
      </x:c>
      <x:c r="P13" s="12" t="str">
        <x:v>Confirmar acesso ao decisor; depois validar faturamento + CX/CS</x:v>
      </x:c>
      <x:c r="Q13" s="12" t="str">
        <x:v>https://guiapj.com.br/consulta-cnpj/07390864000106</x:v>
      </x:c>
      <x:c r="R13" s="13" t="n">
        <x:v>46237.625</x:v>
      </x:c>
      <x:c r="S13" s="12" t="str">
        <x:v>Não iniciado</x:v>
      </x:c>
    </x:row>
    <x:row r="14" ht="31" customHeight="1">
      <x:c r="A14" s="11" t="n">
        <x:v>13</x:v>
      </x:c>
      <x:c r="B14" s="11" t="str">
        <x:f>IF(AND(C14&gt;=6,K14="Direto público"),"A",IF(C14&gt;=5,"B","Revisar"))</x:f>
        <x:v>B</x:v>
      </x:c>
      <x:c r="C14" s="11" t="n">
        <x:f>2+IF(K14="Direto público",2,1)+2</x:f>
        <x:v>5</x:v>
      </x:c>
      <x:c r="D14" s="12" t="str">
        <x:v>Garutti Contabilidade &amp; Assessoria</x:v>
      </x:c>
      <x:c r="E14" s="12" t="str">
        <x:v>Contabilidade/BPO</x:v>
      </x:c>
      <x:c r="F14" s="12" t="str">
        <x:v>São Paulo</x:v>
      </x:c>
      <x:c r="G14" s="12" t="str">
        <x:v>SP</x:v>
      </x:c>
      <x:c r="H14" s="12" t="str">
        <x:v>Marcus Jair Garutti Junior</x:v>
      </x:c>
      <x:c r="I14" s="12" t="str">
        <x:v>Sócio-administrador</x:v>
      </x:c>
      <x:c r="J14" s="12" t="str">
        <x:v>(11) 3256-2333</x:v>
      </x:c>
      <x:c r="K14" s="12" t="str">
        <x:v>Institucional</x:v>
      </x:c>
      <x:c r="L14" s="12" t="str">
        <x:v>Média</x:v>
      </x:c>
      <x:c r="M14" s="12" t="str">
        <x:v>R$ 150–200 mil (proxy)</x:v>
      </x:c>
      <x:c r="N14" s="12" t="str">
        <x:v>Escritório tradicional; sócios e telefone publicados</x:v>
      </x:c>
      <x:c r="O14" s="12" t="str">
        <x:v>Sem estrutura dedicada localizada nas fontes consultadas; validar antes do contato</x:v>
      </x:c>
      <x:c r="P14" s="12" t="str">
        <x:v>Confirmar acesso ao decisor; depois validar faturamento + CX/CS</x:v>
      </x:c>
      <x:c r="Q14" s="12" t="str">
        <x:v>https://br.todosnegocios.com/pt/garutti-11-3256-2333</x:v>
      </x:c>
      <x:c r="R14" s="13" t="n">
        <x:v>46237.625</x:v>
      </x:c>
      <x:c r="S14" s="12" t="str">
        <x:v>Não iniciado</x:v>
      </x:c>
    </x:row>
    <x:row r="15" ht="31" customHeight="1">
      <x:c r="A15" s="11" t="n">
        <x:v>14</x:v>
      </x:c>
      <x:c r="B15" s="11" t="str">
        <x:f>IF(AND(C15&gt;=6,K15="Direto público"),"A",IF(C15&gt;=5,"B","Revisar"))</x:f>
        <x:v>A</x:v>
      </x:c>
      <x:c r="C15" s="11" t="n">
        <x:f>2+IF(K15="Direto público",2,1)+2</x:f>
        <x:v>6</x:v>
      </x:c>
      <x:c r="D15" s="12" t="str">
        <x:v>Primordial Serviços Contábeis</x:v>
      </x:c>
      <x:c r="E15" s="12" t="str">
        <x:v>Contabilidade/BPO</x:v>
      </x:c>
      <x:c r="F15" s="12" t="str">
        <x:v>São Paulo</x:v>
      </x:c>
      <x:c r="G15" s="12" t="str">
        <x:v>SP</x:v>
      </x:c>
      <x:c r="H15" s="12" t="str">
        <x:v>Sandra Folhene Bau</x:v>
      </x:c>
      <x:c r="I15" s="12" t="str">
        <x:v>Sócia-administradora</x:v>
      </x:c>
      <x:c r="J15" s="12" t="str">
        <x:v>(11) 95967-9000</x:v>
      </x:c>
      <x:c r="K15" s="12" t="str">
        <x:v>Direto público</x:v>
      </x:c>
      <x:c r="L15" s="12" t="str">
        <x:v>Média</x:v>
      </x:c>
      <x:c r="M15" s="12" t="str">
        <x:v>R$ 150–200 mil (proxy)</x:v>
      </x:c>
      <x:c r="N15" s="12" t="str">
        <x:v>Ativa desde 2007; Simples; assessoria recorrente</x:v>
      </x:c>
      <x:c r="O15" s="12" t="str">
        <x:v>Sem estrutura dedicada localizada nas fontes consultadas; validar antes do contato</x:v>
      </x:c>
      <x:c r="P15" s="12" t="str">
        <x:v>Contatar o decisor e validar faturamento + ausência de CX/CS</x:v>
      </x:c>
      <x:c r="Q15" s="12" t="str">
        <x:v>https://casadosdados.com.br/solucao/cnpj/primordial-servicos-contabeis-ss-09255781000130</x:v>
      </x:c>
      <x:c r="R15" s="13" t="n">
        <x:v>46237.625</x:v>
      </x:c>
      <x:c r="S15" s="12" t="str">
        <x:v>Não iniciado</x:v>
      </x:c>
    </x:row>
    <x:row r="16" ht="31" customHeight="1">
      <x:c r="A16" s="11" t="n">
        <x:v>15</x:v>
      </x:c>
      <x:c r="B16" s="11" t="str">
        <x:f>IF(AND(C16&gt;=6,K16="Direto público"),"A",IF(C16&gt;=5,"B","Revisar"))</x:f>
        <x:v>A</x:v>
      </x:c>
      <x:c r="C16" s="11" t="n">
        <x:f>2+IF(K16="Direto público",2,1)+2</x:f>
        <x:v>6</x:v>
      </x:c>
      <x:c r="D16" s="12" t="str">
        <x:v>VIPS Consultores</x:v>
      </x:c>
      <x:c r="E16" s="12" t="str">
        <x:v>Contabilidade/BPO</x:v>
      </x:c>
      <x:c r="F16" s="12" t="str">
        <x:v>São Paulo</x:v>
      </x:c>
      <x:c r="G16" s="12" t="str">
        <x:v>SP</x:v>
      </x:c>
      <x:c r="H16" s="12" t="str">
        <x:v>Manoel Ramos</x:v>
      </x:c>
      <x:c r="I16" s="12" t="str">
        <x:v>Fundador</x:v>
      </x:c>
      <x:c r="J16" s="12" t="str">
        <x:v>(11) 95608-1408</x:v>
      </x:c>
      <x:c r="K16" s="12" t="str">
        <x:v>Direto público</x:v>
      </x:c>
      <x:c r="L16" s="12" t="str">
        <x:v>Média</x:v>
      </x:c>
      <x:c r="M16" s="12" t="str">
        <x:v>R$ 150–200 mil (proxy)</x:v>
      </x:c>
      <x:c r="N16" s="12" t="str">
        <x:v>Atende PMEs desde 1995; WhatsApp e liderança publicados</x:v>
      </x:c>
      <x:c r="O16" s="12" t="str">
        <x:v>Sem estrutura dedicada localizada nas fontes consultadas; validar antes do contato</x:v>
      </x:c>
      <x:c r="P16" s="12" t="str">
        <x:v>Contatar o decisor e validar faturamento + ausência de CX/CS</x:v>
      </x:c>
      <x:c r="Q16" s="12" t="str">
        <x:v>https://vipsconsultores.com.br/</x:v>
      </x:c>
      <x:c r="R16" s="13" t="n">
        <x:v>46237.625</x:v>
      </x:c>
      <x:c r="S16" s="12" t="str">
        <x:v>Não iniciado</x:v>
      </x:c>
    </x:row>
    <x:row r="17" ht="31" customHeight="1">
      <x:c r="A17" s="11" t="n">
        <x:v>16</x:v>
      </x:c>
      <x:c r="B17" s="11" t="str">
        <x:f>IF(AND(C17&gt;=6,K17="Direto público"),"A",IF(C17&gt;=5,"B","Revisar"))</x:f>
        <x:v>B</x:v>
      </x:c>
      <x:c r="C17" s="11" t="n">
        <x:f>3+IF(K17="Direto público",2,1)+2</x:f>
        <x:v>6</x:v>
      </x:c>
      <x:c r="D17" s="12" t="str">
        <x:v>Convexa Contabilidade</x:v>
      </x:c>
      <x:c r="E17" s="12" t="str">
        <x:v>Contabilidade/BPO</x:v>
      </x:c>
      <x:c r="F17" s="12" t="str">
        <x:v>Porto Alegre</x:v>
      </x:c>
      <x:c r="G17" s="12" t="str">
        <x:v>RS</x:v>
      </x:c>
      <x:c r="H17" s="12" t="str">
        <x:v>Pedro Paladino</x:v>
      </x:c>
      <x:c r="I17" s="12" t="str">
        <x:v>Fundador e novos negócios</x:v>
      </x:c>
      <x:c r="J17" s="12" t="str">
        <x:v>(51) 3392-5500</x:v>
      </x:c>
      <x:c r="K17" s="12" t="str">
        <x:v>Institucional</x:v>
      </x:c>
      <x:c r="L17" s="12" t="str">
        <x:v>Alta</x:v>
      </x:c>
      <x:c r="M17" s="12" t="str">
        <x:v>R$ 150–200 mil (proxy)</x:v>
      </x:c>
      <x:c r="N17" s="12" t="str">
        <x:v>Equipe com direção técnica e CEO; carteira nacional recorrente</x:v>
      </x:c>
      <x:c r="O17" s="12" t="str">
        <x:v>Sem estrutura dedicada localizada nas fontes consultadas; validar antes do contato</x:v>
      </x:c>
      <x:c r="P17" s="12" t="str">
        <x:v>Confirmar acesso ao decisor; depois validar faturamento + CX/CS</x:v>
      </x:c>
      <x:c r="Q17" s="12" t="str">
        <x:v>https://convexa.net.br/</x:v>
      </x:c>
      <x:c r="R17" s="13" t="n">
        <x:v>46237.625</x:v>
      </x:c>
      <x:c r="S17" s="12" t="str">
        <x:v>Não iniciado</x:v>
      </x:c>
    </x:row>
    <x:row r="18" ht="31" customHeight="1">
      <x:c r="A18" s="11" t="n">
        <x:v>17</x:v>
      </x:c>
      <x:c r="B18" s="11" t="str">
        <x:f>IF(AND(C18&gt;=6,K18="Direto público"),"A",IF(C18&gt;=5,"B","Revisar"))</x:f>
        <x:v>B</x:v>
      </x:c>
      <x:c r="C18" s="11" t="n">
        <x:f>2+IF(K18="Direto público",2,1)+2</x:f>
        <x:v>5</x:v>
      </x:c>
      <x:c r="D18" s="12" t="str">
        <x:v>D'oro Contábil</x:v>
      </x:c>
      <x:c r="E18" s="12" t="str">
        <x:v>Contabilidade/BPO</x:v>
      </x:c>
      <x:c r="F18" s="12" t="str">
        <x:v>Curitiba</x:v>
      </x:c>
      <x:c r="G18" s="12" t="str">
        <x:v>PR</x:v>
      </x:c>
      <x:c r="H18" s="12" t="str">
        <x:v>Antônio Carlos Dóro</x:v>
      </x:c>
      <x:c r="I18" s="12" t="str">
        <x:v>Sócio-fundador</x:v>
      </x:c>
      <x:c r="J18" s="12" t="str">
        <x:v>Site / WhatsApp</x:v>
      </x:c>
      <x:c r="K18" s="12" t="str">
        <x:v>Institucional</x:v>
      </x:c>
      <x:c r="L18" s="12" t="str">
        <x:v>Média</x:v>
      </x:c>
      <x:c r="M18" s="12" t="str">
        <x:v>R$ 150–200 mil (proxy)</x:v>
      </x:c>
      <x:c r="N18" s="12" t="str">
        <x:v>Mais de 40 anos; serviços personalizados recorrentes</x:v>
      </x:c>
      <x:c r="O18" s="12" t="str">
        <x:v>Sem estrutura dedicada localizada nas fontes consultadas; validar antes do contato</x:v>
      </x:c>
      <x:c r="P18" s="12" t="str">
        <x:v>Confirmar acesso ao decisor; depois validar faturamento + CX/CS</x:v>
      </x:c>
      <x:c r="Q18" s="12" t="str">
        <x:v>https://dorocontabil.com.br/quem-somos/</x:v>
      </x:c>
      <x:c r="R18" s="13" t="n">
        <x:v>46237.625</x:v>
      </x:c>
      <x:c r="S18" s="12" t="str">
        <x:v>Não iniciado</x:v>
      </x:c>
    </x:row>
    <x:row r="19" ht="31" customHeight="1">
      <x:c r="A19" s="11" t="n">
        <x:v>18</x:v>
      </x:c>
      <x:c r="B19" s="11" t="str">
        <x:f>IF(AND(C19&gt;=6,K19="Direto público"),"A",IF(C19&gt;=5,"B","Revisar"))</x:f>
        <x:v>A</x:v>
      </x:c>
      <x:c r="C19" s="11" t="n">
        <x:f>2+IF(K19="Direto público",2,1)+2</x:f>
        <x:v>6</x:v>
      </x:c>
      <x:c r="D19" s="12" t="str">
        <x:v>Contag Contabilidade</x:v>
      </x:c>
      <x:c r="E19" s="12" t="str">
        <x:v>Contabilidade/BPO</x:v>
      </x:c>
      <x:c r="F19" s="12" t="str">
        <x:v>Brasília</x:v>
      </x:c>
      <x:c r="G19" s="12" t="str">
        <x:v>DF</x:v>
      </x:c>
      <x:c r="H19" s="12" t="str">
        <x:v>Francisco de Assis Vieira</x:v>
      </x:c>
      <x:c r="I19" s="12" t="str">
        <x:v>Sócio-fundador</x:v>
      </x:c>
      <x:c r="J19" s="12" t="str">
        <x:v>(61) 98629-8383</x:v>
      </x:c>
      <x:c r="K19" s="12" t="str">
        <x:v>Direto público</x:v>
      </x:c>
      <x:c r="L19" s="12" t="str">
        <x:v>Média</x:v>
      </x:c>
      <x:c r="M19" s="12" t="str">
        <x:v>R$ 150–200 mil (proxy)</x:v>
      </x:c>
      <x:c r="N19" s="12" t="str">
        <x:v>17 anos; consultoria e rotinas contábeis recorrentes</x:v>
      </x:c>
      <x:c r="O19" s="12" t="str">
        <x:v>Sem estrutura dedicada localizada nas fontes consultadas; validar antes do contato</x:v>
      </x:c>
      <x:c r="P19" s="12" t="str">
        <x:v>Contatar o decisor e validar faturamento + ausência de CX/CS</x:v>
      </x:c>
      <x:c r="Q19" s="12" t="str">
        <x:v>https://www.contagbsb.com.br/sobre-nos</x:v>
      </x:c>
      <x:c r="R19" s="13" t="n">
        <x:v>46237.625</x:v>
      </x:c>
      <x:c r="S19" s="12" t="str">
        <x:v>Não iniciado</x:v>
      </x:c>
    </x:row>
    <x:row r="20" ht="31" customHeight="1">
      <x:c r="A20" s="11" t="n">
        <x:v>19</x:v>
      </x:c>
      <x:c r="B20" s="11" t="str">
        <x:f>IF(AND(C20&gt;=6,K20="Direto público"),"A",IF(C20&gt;=5,"B","Revisar"))</x:f>
        <x:v>A</x:v>
      </x:c>
      <x:c r="C20" s="11" t="n">
        <x:f>3+IF(K20="Direto público",2,1)+2</x:f>
        <x:v>7</x:v>
      </x:c>
      <x:c r="D20" s="12" t="str">
        <x:v>Sorttcon Contabilidade</x:v>
      </x:c>
      <x:c r="E20" s="12" t="str">
        <x:v>Contabilidade/BPO</x:v>
      </x:c>
      <x:c r="F20" s="12" t="str">
        <x:v>Brasília</x:v>
      </x:c>
      <x:c r="G20" s="12" t="str">
        <x:v>DF</x:v>
      </x:c>
      <x:c r="H20" s="12" t="str">
        <x:v>Cosmo Pereira</x:v>
      </x:c>
      <x:c r="I20" s="12" t="str">
        <x:v>Fundador</x:v>
      </x:c>
      <x:c r="J20" s="12" t="str">
        <x:v>(61) 99961-3107</x:v>
      </x:c>
      <x:c r="K20" s="12" t="str">
        <x:v>Direto público</x:v>
      </x:c>
      <x:c r="L20" s="12" t="str">
        <x:v>Alta</x:v>
      </x:c>
      <x:c r="M20" s="12" t="str">
        <x:v>R$ 150–200 mil (proxy)</x:v>
      </x:c>
      <x:c r="N20" s="12" t="str">
        <x:v>31 profissionais e 38 anos; validar limite superior de receita</x:v>
      </x:c>
      <x:c r="O20" s="12" t="str">
        <x:v>Sem estrutura dedicada localizada nas fontes consultadas; validar antes do contato</x:v>
      </x:c>
      <x:c r="P20" s="12" t="str">
        <x:v>Contatar o decisor e validar faturamento + ausência de CX/CS</x:v>
      </x:c>
      <x:c r="Q20" s="12" t="str">
        <x:v>https://www.sorttcon.com.br/</x:v>
      </x:c>
      <x:c r="R20" s="13" t="n">
        <x:v>46237.625</x:v>
      </x:c>
      <x:c r="S20" s="12" t="str">
        <x:v>Não iniciado</x:v>
      </x:c>
    </x:row>
    <x:row r="21" ht="31" customHeight="1">
      <x:c r="A21" s="11" t="n">
        <x:v>20</x:v>
      </x:c>
      <x:c r="B21" s="11" t="str">
        <x:f>IF(AND(C21&gt;=6,K21="Direto público"),"A",IF(C21&gt;=5,"B","Revisar"))</x:f>
        <x:v>B</x:v>
      </x:c>
      <x:c r="C21" s="11" t="n">
        <x:f>2+IF(K21="Direto público",2,1)+1</x:f>
        <x:v>5</x:v>
      </x:c>
      <x:c r="D21" s="12" t="str">
        <x:v>Querino Contabilidade</x:v>
      </x:c>
      <x:c r="E21" s="12" t="str">
        <x:v>Contabilidade/BPO</x:v>
      </x:c>
      <x:c r="F21" s="12" t="str">
        <x:v>Recife</x:v>
      </x:c>
      <x:c r="G21" s="12" t="str">
        <x:v>PE</x:v>
      </x:c>
      <x:c r="H21" s="12" t="str">
        <x:v>Rodrigo Querino</x:v>
      </x:c>
      <x:c r="I21" s="12" t="str">
        <x:v>Fundador e sócio</x:v>
      </x:c>
      <x:c r="J21" s="12" t="str">
        <x:v>Site / WhatsApp</x:v>
      </x:c>
      <x:c r="K21" s="12" t="str">
        <x:v>Direto público</x:v>
      </x:c>
      <x:c r="L21" s="12" t="str">
        <x:v>Média</x:v>
      </x:c>
      <x:c r="M21" s="12" t="str">
        <x:v>R$ 100–150 mil (proxy)</x:v>
      </x:c>
      <x:c r="N21" s="12" t="str">
        <x:v>70 clientes ativos; relatórios gerenciais e recorrência</x:v>
      </x:c>
      <x:c r="O21" s="12" t="str">
        <x:v>Sem estrutura dedicada localizada nas fontes consultadas; validar antes do contato</x:v>
      </x:c>
      <x:c r="P21" s="12" t="str">
        <x:v>Contatar o decisor e validar faturamento + ausência de CX/CS</x:v>
      </x:c>
      <x:c r="Q21" s="12" t="str">
        <x:v>https://querinocontabilidade.com.br/escritorio-de-contabilidade-em-recife/</x:v>
      </x:c>
      <x:c r="R21" s="13" t="n">
        <x:v>46237.625</x:v>
      </x:c>
      <x:c r="S21" s="12" t="str">
        <x:v>Não iniciado</x:v>
      </x:c>
    </x:row>
    <x:row r="22" ht="31" customHeight="1">
      <x:c r="A22" s="11" t="n">
        <x:v>21</x:v>
      </x:c>
      <x:c r="B22" s="11" t="str">
        <x:f>IF(AND(C22&gt;=6,K22="Direto público"),"A",IF(C22&gt;=5,"B","Revisar"))</x:f>
        <x:v>B</x:v>
      </x:c>
      <x:c r="C22" s="11" t="n">
        <x:f>2+IF(K22="Direto público",2,1)+1</x:f>
        <x:v>5</x:v>
      </x:c>
      <x:c r="D22" s="12" t="str">
        <x:v>Rocha &amp; Draia Contabilidade</x:v>
      </x:c>
      <x:c r="E22" s="12" t="str">
        <x:v>Contabilidade/BPO</x:v>
      </x:c>
      <x:c r="F22" s="12" t="str">
        <x:v>Rio de Janeiro</x:v>
      </x:c>
      <x:c r="G22" s="12" t="str">
        <x:v>RJ</x:v>
      </x:c>
      <x:c r="H22" s="12" t="str">
        <x:v>Caio Draia</x:v>
      </x:c>
      <x:c r="I22" s="12" t="str">
        <x:v>Sócio-fundador</x:v>
      </x:c>
      <x:c r="J22" s="12" t="str">
        <x:v>(21) 99815-4069</x:v>
      </x:c>
      <x:c r="K22" s="12" t="str">
        <x:v>Direto público</x:v>
      </x:c>
      <x:c r="L22" s="12" t="str">
        <x:v>Média</x:v>
      </x:c>
      <x:c r="M22" s="12" t="str">
        <x:v>R$ 100–150 mil (proxy)</x:v>
      </x:c>
      <x:c r="N22" s="12" t="str">
        <x:v>Escritório boutique com atendimento empresarial recorrente</x:v>
      </x:c>
      <x:c r="O22" s="12" t="str">
        <x:v>Sem estrutura dedicada localizada nas fontes consultadas; validar antes do contato</x:v>
      </x:c>
      <x:c r="P22" s="12" t="str">
        <x:v>Contatar o decisor e validar faturamento + ausência de CX/CS</x:v>
      </x:c>
      <x:c r="Q22" s="12" t="str">
        <x:v>https://www.redcontabilidade.com.br/</x:v>
      </x:c>
      <x:c r="R22" s="13" t="n">
        <x:v>46237.625</x:v>
      </x:c>
      <x:c r="S22" s="12" t="str">
        <x:v>Não iniciado</x:v>
      </x:c>
    </x:row>
    <x:row r="23" ht="31" customHeight="1">
      <x:c r="A23" s="11" t="n">
        <x:v>22</x:v>
      </x:c>
      <x:c r="B23" s="11" t="str">
        <x:f>IF(AND(C23&gt;=6,K23="Direto público"),"A",IF(C23&gt;=5,"B","Revisar"))</x:f>
        <x:v>A</x:v>
      </x:c>
      <x:c r="C23" s="11" t="n">
        <x:f>3+IF(K23="Direto público",2,1)+2</x:f>
        <x:v>7</x:v>
      </x:c>
      <x:c r="D23" s="12" t="str">
        <x:v>Expertisa</x:v>
      </x:c>
      <x:c r="E23" s="12" t="str">
        <x:v>Contabilidade/BPO</x:v>
      </x:c>
      <x:c r="F23" s="12" t="str">
        <x:v>Rio de Janeiro</x:v>
      </x:c>
      <x:c r="G23" s="12" t="str">
        <x:v>RJ</x:v>
      </x:c>
      <x:c r="H23" s="12" t="str">
        <x:v>Jean Marc Sierk Vin</x:v>
      </x:c>
      <x:c r="I23" s="12" t="str">
        <x:v>Sócio-administrador</x:v>
      </x:c>
      <x:c r="J23" s="12" t="str">
        <x:v>(21) 99129-7636</x:v>
      </x:c>
      <x:c r="K23" s="12" t="str">
        <x:v>Direto público</x:v>
      </x:c>
      <x:c r="L23" s="12" t="str">
        <x:v>Alta</x:v>
      </x:c>
      <x:c r="M23" s="12" t="str">
        <x:v>R$ 150–200 mil (proxy)</x:v>
      </x:c>
      <x:c r="N23" s="12" t="str">
        <x:v>EPP; 10–49 profissionais; outsourcing e consultoria</x:v>
      </x:c>
      <x:c r="O23" s="12" t="str">
        <x:v>Sem estrutura dedicada localizada nas fontes consultadas; validar antes do contato</x:v>
      </x:c>
      <x:c r="P23" s="12" t="str">
        <x:v>Contatar o decisor e validar faturamento + ausência de CX/CS</x:v>
      </x:c>
      <x:c r="Q23" s="12" t="str">
        <x:v>https://expertisa.com.br/quem-somos/</x:v>
      </x:c>
      <x:c r="R23" s="13" t="n">
        <x:v>46237.625</x:v>
      </x:c>
      <x:c r="S23" s="12" t="str">
        <x:v>Não iniciado</x:v>
      </x:c>
    </x:row>
    <x:row r="24" ht="31" customHeight="1">
      <x:c r="A24" s="11" t="n">
        <x:v>23</x:v>
      </x:c>
      <x:c r="B24" s="11" t="str">
        <x:f>IF(AND(C24&gt;=6,K24="Direto público"),"A",IF(C24&gt;=5,"B","Revisar"))</x:f>
        <x:v>B</x:v>
      </x:c>
      <x:c r="C24" s="11" t="n">
        <x:f>2+IF(K24="Direto público",2,1)+1</x:f>
        <x:v>5</x:v>
      </x:c>
      <x:c r="D24" s="12" t="str">
        <x:v>Axios Contabilidade</x:v>
      </x:c>
      <x:c r="E24" s="12" t="str">
        <x:v>Contabilidade/BPO</x:v>
      </x:c>
      <x:c r="F24" s="12" t="str">
        <x:v>Rio de Janeiro</x:v>
      </x:c>
      <x:c r="G24" s="12" t="str">
        <x:v>RJ</x:v>
      </x:c>
      <x:c r="H24" s="12" t="str">
        <x:v>Suely Marins</x:v>
      </x:c>
      <x:c r="I24" s="12" t="str">
        <x:v>Fundadora</x:v>
      </x:c>
      <x:c r="J24" s="12" t="str">
        <x:v>(21) 99502-6773</x:v>
      </x:c>
      <x:c r="K24" s="12" t="str">
        <x:v>Direto público</x:v>
      </x:c>
      <x:c r="L24" s="12" t="str">
        <x:v>Média</x:v>
      </x:c>
      <x:c r="M24" s="12" t="str">
        <x:v>R$ 100–150 mil (proxy)</x:v>
      </x:c>
      <x:c r="N24" s="12" t="str">
        <x:v>Contabilidade consultiva para PMEs; fundadora e celular publicados</x:v>
      </x:c>
      <x:c r="O24" s="12" t="str">
        <x:v>Sem estrutura dedicada localizada nas fontes consultadas; validar antes do contato</x:v>
      </x:c>
      <x:c r="P24" s="12" t="str">
        <x:v>Contatar o decisor e validar faturamento + ausência de CX/CS</x:v>
      </x:c>
      <x:c r="Q24" s="12" t="str">
        <x:v>https://axioscont.com.br/</x:v>
      </x:c>
      <x:c r="R24" s="13" t="n">
        <x:v>46237.625</x:v>
      </x:c>
      <x:c r="S24" s="12" t="str">
        <x:v>Não iniciado</x:v>
      </x:c>
    </x:row>
    <x:row r="25" ht="31" customHeight="1">
      <x:c r="A25" s="11" t="n">
        <x:v>24</x:v>
      </x:c>
      <x:c r="B25" s="11" t="str">
        <x:f>IF(AND(C25&gt;=6,K25="Direto público"),"A",IF(C25&gt;=5,"B","Revisar"))</x:f>
        <x:v>A</x:v>
      </x:c>
      <x:c r="C25" s="11" t="n">
        <x:f>2+IF(K25="Direto público",2,1)+2</x:f>
        <x:v>6</x:v>
      </x:c>
      <x:c r="D25" s="12" t="str">
        <x:v>RAS Assessoria e Serviços Empresariais</x:v>
      </x:c>
      <x:c r="E25" s="12" t="str">
        <x:v>BPO financeiro</x:v>
      </x:c>
      <x:c r="F25" s="12" t="str">
        <x:v>São Paulo</x:v>
      </x:c>
      <x:c r="G25" s="12" t="str">
        <x:v>SP</x:v>
      </x:c>
      <x:c r="H25" s="12" t="str">
        <x:v>Rodrigo Alba Salgado</x:v>
      </x:c>
      <x:c r="I25" s="12" t="str">
        <x:v>Fundador e gestor financeiro sênior</x:v>
      </x:c>
      <x:c r="J25" s="12" t="str">
        <x:v>rodrigo@rasassessoria.com.br</x:v>
      </x:c>
      <x:c r="K25" s="12" t="str">
        <x:v>Direto público</x:v>
      </x:c>
      <x:c r="L25" s="12" t="str">
        <x:v>Média</x:v>
      </x:c>
      <x:c r="M25" s="12" t="str">
        <x:v>R$ 150–200 mil (proxy)</x:v>
      </x:c>
      <x:c r="N25" s="12" t="str">
        <x:v>BPO financeiro recorrente para PMEs; acesso direto ao fundador</x:v>
      </x:c>
      <x:c r="O25" s="12" t="str">
        <x:v>Sem estrutura dedicada localizada nas fontes consultadas; validar antes do contato</x:v>
      </x:c>
      <x:c r="P25" s="12" t="str">
        <x:v>Contatar o decisor e validar faturamento + ausência de CX/CS</x:v>
      </x:c>
      <x:c r="Q25" s="12" t="str">
        <x:v>https://rasassessoria.com.br/</x:v>
      </x:c>
      <x:c r="R25" s="13" t="n">
        <x:v>46237.625</x:v>
      </x:c>
      <x:c r="S25" s="12" t="str">
        <x:v>Não iniciado</x:v>
      </x:c>
    </x:row>
    <x:row r="26" ht="31" customHeight="1">
      <x:c r="A26" s="11" t="n">
        <x:v>25</x:v>
      </x:c>
      <x:c r="B26" s="11" t="str">
        <x:f>IF(AND(C26&gt;=6,K26="Direto público"),"A",IF(C26&gt;=5,"B","Revisar"))</x:f>
        <x:v>B</x:v>
      </x:c>
      <x:c r="C26" s="11" t="n">
        <x:f>2+IF(K26="Direto público",2,1)+1</x:f>
        <x:v>5</x:v>
      </x:c>
      <x:c r="D26" s="12" t="str">
        <x:v>Expansão Soluções Integradas</x:v>
      </x:c>
      <x:c r="E26" s="12" t="str">
        <x:v>BPO financeiro</x:v>
      </x:c>
      <x:c r="F26" s="12" t="str">
        <x:v>Fortaleza</x:v>
      </x:c>
      <x:c r="G26" s="12" t="str">
        <x:v>CE</x:v>
      </x:c>
      <x:c r="H26" s="12" t="str">
        <x:v>Eduardo Moreira</x:v>
      </x:c>
      <x:c r="I26" s="12" t="str">
        <x:v>Fundador</x:v>
      </x:c>
      <x:c r="J26" s="12" t="str">
        <x:v>(85) 98797-9482</x:v>
      </x:c>
      <x:c r="K26" s="12" t="str">
        <x:v>Direto público</x:v>
      </x:c>
      <x:c r="L26" s="12" t="str">
        <x:v>Média</x:v>
      </x:c>
      <x:c r="M26" s="12" t="str">
        <x:v>R$ 100–150 mil (proxy)</x:v>
      </x:c>
      <x:c r="N26" s="12" t="str">
        <x:v>BPO, consultoria e desenvolvimento empresarial</x:v>
      </x:c>
      <x:c r="O26" s="12" t="str">
        <x:v>Sem estrutura dedicada localizada nas fontes consultadas; validar antes do contato</x:v>
      </x:c>
      <x:c r="P26" s="12" t="str">
        <x:v>Contatar o decisor e validar faturamento + ausência de CX/CS</x:v>
      </x:c>
      <x:c r="Q26" s="12" t="str">
        <x:v>https://expansaosi.com.br/</x:v>
      </x:c>
      <x:c r="R26" s="13" t="n">
        <x:v>46237.625</x:v>
      </x:c>
      <x:c r="S26" s="12" t="str">
        <x:v>Não iniciado</x:v>
      </x:c>
    </x:row>
    <x:row r="27" ht="31" customHeight="1">
      <x:c r="A27" s="11" t="n">
        <x:v>26</x:v>
      </x:c>
      <x:c r="B27" s="11" t="str">
        <x:f>IF(AND(C27&gt;=6,K27="Direto público"),"A",IF(C27&gt;=5,"B","Revisar"))</x:f>
        <x:v>B</x:v>
      </x:c>
      <x:c r="C27" s="11" t="n">
        <x:f>2+IF(K27="Direto público",2,1)+2</x:f>
        <x:v>5</x:v>
      </x:c>
      <x:c r="D27" s="12" t="str">
        <x:v>W.E BPO Financeiro</x:v>
      </x:c>
      <x:c r="E27" s="12" t="str">
        <x:v>BPO financeiro</x:v>
      </x:c>
      <x:c r="F27" s="12" t="str">
        <x:v>Sorocaba</x:v>
      </x:c>
      <x:c r="G27" s="12" t="str">
        <x:v>SP</x:v>
      </x:c>
      <x:c r="H27" s="12" t="str">
        <x:v>Wendrew de Oliveira</x:v>
      </x:c>
      <x:c r="I27" s="12" t="str">
        <x:v>Sócio-fundador</x:v>
      </x:c>
      <x:c r="J27" s="12" t="str">
        <x:v>(15) 3234-2077</x:v>
      </x:c>
      <x:c r="K27" s="12" t="str">
        <x:v>Institucional</x:v>
      </x:c>
      <x:c r="L27" s="12" t="str">
        <x:v>Média</x:v>
      </x:c>
      <x:c r="M27" s="12" t="str">
        <x:v>R$ 150–200 mil (proxy)</x:v>
      </x:c>
      <x:c r="N27" s="12" t="str">
        <x:v>Gestão financeira terceirizada e recorrente para PMEs</x:v>
      </x:c>
      <x:c r="O27" s="12" t="str">
        <x:v>Sem estrutura dedicada localizada nas fontes consultadas; validar antes do contato</x:v>
      </x:c>
      <x:c r="P27" s="12" t="str">
        <x:v>Confirmar acesso ao decisor; depois validar faturamento + CX/CS</x:v>
      </x:c>
      <x:c r="Q27" s="12" t="str">
        <x:v>https://www.webpofinanceiro.com.br/about</x:v>
      </x:c>
      <x:c r="R27" s="13" t="n">
        <x:v>46237.625</x:v>
      </x:c>
      <x:c r="S27" s="12" t="str">
        <x:v>Não iniciado</x:v>
      </x:c>
    </x:row>
    <x:row r="28" ht="31" customHeight="1">
      <x:c r="A28" s="11" t="n">
        <x:v>27</x:v>
      </x:c>
      <x:c r="B28" s="11" t="str">
        <x:f>IF(AND(C28&gt;=6,K28="Direto público"),"A",IF(C28&gt;=5,"B","Revisar"))</x:f>
        <x:v>B</x:v>
      </x:c>
      <x:c r="C28" s="11" t="n">
        <x:f>2+IF(K28="Direto público",2,1)+1</x:f>
        <x:v>5</x:v>
      </x:c>
      <x:c r="D28" s="12" t="str">
        <x:v>Track BPO</x:v>
      </x:c>
      <x:c r="E28" s="12" t="str">
        <x:v>BPO financeiro</x:v>
      </x:c>
      <x:c r="F28" s="12" t="str">
        <x:v>São Paulo</x:v>
      </x:c>
      <x:c r="G28" s="12" t="str">
        <x:v>SP</x:v>
      </x:c>
      <x:c r="H28" s="12" t="str">
        <x:v>Caio Aidar</x:v>
      </x:c>
      <x:c r="I28" s="12" t="str">
        <x:v>Fundador</x:v>
      </x:c>
      <x:c r="J28" s="12" t="str">
        <x:v>(11) 97864-8711</x:v>
      </x:c>
      <x:c r="K28" s="12" t="str">
        <x:v>Direto público</x:v>
      </x:c>
      <x:c r="L28" s="12" t="str">
        <x:v>Média</x:v>
      </x:c>
      <x:c r="M28" s="12" t="str">
        <x:v>R$ 100–150 mil (proxy)</x:v>
      </x:c>
      <x:c r="N28" s="12" t="str">
        <x:v>BPO exclusivo para pequenas empresas; dois fundadores seniores</x:v>
      </x:c>
      <x:c r="O28" s="12" t="str">
        <x:v>Sem estrutura dedicada localizada nas fontes consultadas; validar antes do contato</x:v>
      </x:c>
      <x:c r="P28" s="12" t="str">
        <x:v>Contatar o decisor e validar faturamento + ausência de CX/CS</x:v>
      </x:c>
      <x:c r="Q28" s="12" t="str">
        <x:v>https://trackbpo.com.br/quem-somos</x:v>
      </x:c>
      <x:c r="R28" s="13" t="n">
        <x:v>46237.625</x:v>
      </x:c>
      <x:c r="S28" s="12" t="str">
        <x:v>Não iniciado</x:v>
      </x:c>
    </x:row>
    <x:row r="29" ht="31" customHeight="1">
      <x:c r="A29" s="11" t="n">
        <x:v>28</x:v>
      </x:c>
      <x:c r="B29" s="11" t="str">
        <x:f>IF(AND(C29&gt;=6,K29="Direto público"),"A",IF(C29&gt;=5,"B","Revisar"))</x:f>
        <x:v>A</x:v>
      </x:c>
      <x:c r="C29" s="11" t="n">
        <x:f>2+IF(K29="Direto público",2,1)+2</x:f>
        <x:v>6</x:v>
      </x:c>
      <x:c r="D29" s="12" t="str">
        <x:v>Proos BPO Financeiro</x:v>
      </x:c>
      <x:c r="E29" s="12" t="str">
        <x:v>BPO financeiro</x:v>
      </x:c>
      <x:c r="F29" s="12" t="str">
        <x:v>São Paulo</x:v>
      </x:c>
      <x:c r="G29" s="12" t="str">
        <x:v>SP</x:v>
      </x:c>
      <x:c r="H29" s="12" t="str">
        <x:v>Rodrigo Colin</x:v>
      </x:c>
      <x:c r="I29" s="12" t="str">
        <x:v>CEO e fundador</x:v>
      </x:c>
      <x:c r="J29" s="12" t="str">
        <x:v>Site / WhatsApp</x:v>
      </x:c>
      <x:c r="K29" s="12" t="str">
        <x:v>Direto público</x:v>
      </x:c>
      <x:c r="L29" s="12" t="str">
        <x:v>Média</x:v>
      </x:c>
      <x:c r="M29" s="12" t="str">
        <x:v>R$ 150–200 mil (proxy)</x:v>
      </x:c>
      <x:c r="N29" s="12" t="str">
        <x:v>BPO recorrente para empresas de serviços</x:v>
      </x:c>
      <x:c r="O29" s="12" t="str">
        <x:v>Sem estrutura dedicada localizada nas fontes consultadas; validar antes do contato</x:v>
      </x:c>
      <x:c r="P29" s="12" t="str">
        <x:v>Contatar o decisor e validar faturamento + ausência de CX/CS</x:v>
      </x:c>
      <x:c r="Q29" s="12" t="str">
        <x:v>https://proos.com.br/</x:v>
      </x:c>
      <x:c r="R29" s="13" t="n">
        <x:v>46237.625</x:v>
      </x:c>
      <x:c r="S29" s="12" t="str">
        <x:v>Não iniciado</x:v>
      </x:c>
    </x:row>
    <x:row r="30" ht="31" customHeight="1">
      <x:c r="A30" s="11" t="n">
        <x:v>29</x:v>
      </x:c>
      <x:c r="B30" s="11" t="str">
        <x:f>IF(AND(C30&gt;=6,K30="Direto público"),"A",IF(C30&gt;=5,"B","Revisar"))</x:f>
        <x:v>A</x:v>
      </x:c>
      <x:c r="C30" s="11" t="n">
        <x:f>2+IF(K30="Direto público",2,1)+2</x:f>
        <x:v>6</x:v>
      </x:c>
      <x:c r="D30" s="12" t="str">
        <x:v>Capitaliza Group</x:v>
      </x:c>
      <x:c r="E30" s="12" t="str">
        <x:v>Contabilidade/BPO</x:v>
      </x:c>
      <x:c r="F30" s="12" t="str">
        <x:v>São Paulo</x:v>
      </x:c>
      <x:c r="G30" s="12" t="str">
        <x:v>SP</x:v>
      </x:c>
      <x:c r="H30" s="12" t="str">
        <x:v>Jaisson Tillmann</x:v>
      </x:c>
      <x:c r="I30" s="12" t="str">
        <x:v>CEO e sócio-fundador</x:v>
      </x:c>
      <x:c r="J30" s="12" t="str">
        <x:v>Site / WhatsApp</x:v>
      </x:c>
      <x:c r="K30" s="12" t="str">
        <x:v>Direto público</x:v>
      </x:c>
      <x:c r="L30" s="12" t="str">
        <x:v>Média</x:v>
      </x:c>
      <x:c r="M30" s="12" t="str">
        <x:v>R$ 150–200 mil (proxy)</x:v>
      </x:c>
      <x:c r="N30" s="12" t="str">
        <x:v>Contabilidade e BPO financeiro de alta performance</x:v>
      </x:c>
      <x:c r="O30" s="12" t="str">
        <x:v>Sem estrutura dedicada localizada nas fontes consultadas; validar antes do contato</x:v>
      </x:c>
      <x:c r="P30" s="12" t="str">
        <x:v>Contatar o decisor e validar faturamento + ausência de CX/CS</x:v>
      </x:c>
      <x:c r="Q30" s="12" t="str">
        <x:v>https://capitalizacontabilidade.com.br/</x:v>
      </x:c>
      <x:c r="R30" s="13" t="n">
        <x:v>46237.625</x:v>
      </x:c>
      <x:c r="S30" s="12" t="str">
        <x:v>Não iniciado</x:v>
      </x:c>
    </x:row>
    <x:row r="31" ht="31" customHeight="1">
      <x:c r="A31" s="11" t="n">
        <x:v>30</x:v>
      </x:c>
      <x:c r="B31" s="11" t="str">
        <x:f>IF(AND(C31&gt;=6,K31="Direto público"),"A",IF(C31&gt;=5,"B","Revisar"))</x:f>
        <x:v>B</x:v>
      </x:c>
      <x:c r="C31" s="11" t="n">
        <x:f>2+IF(K31="Direto público",2,1)+2</x:f>
        <x:v>5</x:v>
      </x:c>
      <x:c r="D31" s="12" t="str">
        <x:v>Starta Contabilidade</x:v>
      </x:c>
      <x:c r="E31" s="12" t="str">
        <x:v>Contabilidade/BPO</x:v>
      </x:c>
      <x:c r="F31" s="12" t="str">
        <x:v>Porto Alegre</x:v>
      </x:c>
      <x:c r="G31" s="12" t="str">
        <x:v>RS</x:v>
      </x:c>
      <x:c r="H31" s="12" t="str">
        <x:v>Lucas Saragozo</x:v>
      </x:c>
      <x:c r="I31" s="12" t="str">
        <x:v>Sócio-fundador</x:v>
      </x:c>
      <x:c r="J31" s="12" t="str">
        <x:v>(51) 2314-6703</x:v>
      </x:c>
      <x:c r="K31" s="12" t="str">
        <x:v>Institucional</x:v>
      </x:c>
      <x:c r="L31" s="12" t="str">
        <x:v>Média</x:v>
      </x:c>
      <x:c r="M31" s="12" t="str">
        <x:v>R$ 150–200 mil (proxy)</x:v>
      </x:c>
      <x:c r="N31" s="12" t="str">
        <x:v>Operação digital com BPO e dois sócios complementares; validar faixa superior</x:v>
      </x:c>
      <x:c r="O31" s="12" t="str">
        <x:v>Sem estrutura dedicada localizada nas fontes consultadas; validar antes do contato</x:v>
      </x:c>
      <x:c r="P31" s="12" t="str">
        <x:v>Confirmar acesso ao decisor; depois validar faturamento + CX/CS</x:v>
      </x:c>
      <x:c r="Q31" s="12" t="str">
        <x:v>https://startacontabilidade.com.br/</x:v>
      </x:c>
      <x:c r="R31" s="13" t="n">
        <x:v>46237.625</x:v>
      </x:c>
      <x:c r="S31" s="12" t="str">
        <x:v>Não iniciado</x:v>
      </x:c>
    </x:row>
    <x:row r="32" ht="31" customHeight="1">
      <x:c r="A32" s="11" t="n">
        <x:v>31</x:v>
      </x:c>
      <x:c r="B32" s="11" t="str">
        <x:f>IF(AND(C32&gt;=6,K32="Direto público"),"A",IF(C32&gt;=5,"B","Revisar"))</x:f>
        <x:v>A</x:v>
      </x:c>
      <x:c r="C32" s="11" t="n">
        <x:f>2+IF(K32="Direto público",2,1)+2</x:f>
        <x:v>6</x:v>
      </x:c>
      <x:c r="D32" s="12" t="str">
        <x:v>Sim Carreira</x:v>
      </x:c>
      <x:c r="E32" s="12" t="str">
        <x:v>RH e recrutamento</x:v>
      </x:c>
      <x:c r="F32" s="12" t="str">
        <x:v>São Paulo</x:v>
      </x:c>
      <x:c r="G32" s="12" t="str">
        <x:v>SP</x:v>
      </x:c>
      <x:c r="H32" s="12" t="str">
        <x:v>Thiago Melo</x:v>
      </x:c>
      <x:c r="I32" s="12" t="str">
        <x:v>Fundador</x:v>
      </x:c>
      <x:c r="J32" s="12" t="str">
        <x:v>(11) 91087-4237</x:v>
      </x:c>
      <x:c r="K32" s="12" t="str">
        <x:v>Direto público</x:v>
      </x:c>
      <x:c r="L32" s="12" t="str">
        <x:v>Média</x:v>
      </x:c>
      <x:c r="M32" s="12" t="str">
        <x:v>R$ 150–200 mil (proxy)</x:v>
      </x:c>
      <x:c r="N32" s="12" t="str">
        <x:v>Consultoria e recrutamento recorrente; fundador acessível</x:v>
      </x:c>
      <x:c r="O32" s="12" t="str">
        <x:v>Sem estrutura dedicada localizada nas fontes consultadas; validar antes do contato</x:v>
      </x:c>
      <x:c r="P32" s="12" t="str">
        <x:v>Contatar o decisor e validar faturamento + ausência de CX/CS</x:v>
      </x:c>
      <x:c r="Q32" s="12" t="str">
        <x:v>https://simcarreira.com.br/quem-somos/</x:v>
      </x:c>
      <x:c r="R32" s="13" t="n">
        <x:v>46237.625</x:v>
      </x:c>
      <x:c r="S32" s="12" t="str">
        <x:v>Não iniciado</x:v>
      </x:c>
    </x:row>
    <x:row r="33" ht="31" customHeight="1">
      <x:c r="A33" s="11" t="n">
        <x:v>32</x:v>
      </x:c>
      <x:c r="B33" s="11" t="str">
        <x:f>IF(AND(C33&gt;=6,K33="Direto público"),"A",IF(C33&gt;=5,"B","Revisar"))</x:f>
        <x:v>A</x:v>
      </x:c>
      <x:c r="C33" s="11" t="n">
        <x:f>3+IF(K33="Direto público",2,1)+2</x:f>
        <x:v>7</x:v>
      </x:c>
      <x:c r="D33" s="12" t="str">
        <x:v>Paula Pedrosa Headhunter &amp; HR Solutions</x:v>
      </x:c>
      <x:c r="E33" s="12" t="str">
        <x:v>RH e recrutamento</x:v>
      </x:c>
      <x:c r="F33" s="12" t="str">
        <x:v>Manaus</x:v>
      </x:c>
      <x:c r="G33" s="12" t="str">
        <x:v>AM</x:v>
      </x:c>
      <x:c r="H33" s="12" t="str">
        <x:v>Paula Pedrosa</x:v>
      </x:c>
      <x:c r="I33" s="12" t="str">
        <x:v>Fundadora e CEO</x:v>
      </x:c>
      <x:c r="J33" s="12" t="str">
        <x:v>(92) 99454-6545</x:v>
      </x:c>
      <x:c r="K33" s="12" t="str">
        <x:v>Direto público</x:v>
      </x:c>
      <x:c r="L33" s="12" t="str">
        <x:v>Alta</x:v>
      </x:c>
      <x:c r="M33" s="12" t="str">
        <x:v>R$ 150–200 mil (proxy)</x:v>
      </x:c>
      <x:c r="N33" s="12" t="str">
        <x:v>20 anos; soluções de RH de alto valor; canal direto</x:v>
      </x:c>
      <x:c r="O33" s="12" t="str">
        <x:v>Sem estrutura dedicada localizada nas fontes consultadas; validar antes do contato</x:v>
      </x:c>
      <x:c r="P33" s="12" t="str">
        <x:v>Contatar o decisor e validar faturamento + ausência de CX/CS</x:v>
      </x:c>
      <x:c r="Q33" s="12" t="str">
        <x:v>https://paulapedrosa.com.br/sobre-nos/</x:v>
      </x:c>
      <x:c r="R33" s="13" t="n">
        <x:v>46237.625</x:v>
      </x:c>
      <x:c r="S33" s="12" t="str">
        <x:v>Não iniciado</x:v>
      </x:c>
    </x:row>
    <x:row r="34" ht="31" customHeight="1">
      <x:c r="A34" s="11" t="n">
        <x:v>33</x:v>
      </x:c>
      <x:c r="B34" s="11" t="str">
        <x:f>IF(AND(C34&gt;=6,K34="Direto público"),"A",IF(C34&gt;=5,"B","Revisar"))</x:f>
        <x:v>B</x:v>
      </x:c>
      <x:c r="C34" s="11" t="n">
        <x:f>3+IF(K34="Direto público",2,1)+2</x:f>
        <x:v>6</x:v>
      </x:c>
      <x:c r="D34" s="12" t="str">
        <x:v>Personale Consultoria</x:v>
      </x:c>
      <x:c r="E34" s="12" t="str">
        <x:v>RH e recrutamento</x:v>
      </x:c>
      <x:c r="F34" s="12" t="str">
        <x:v>Rio de Janeiro</x:v>
      </x:c>
      <x:c r="G34" s="12" t="str">
        <x:v>RJ</x:v>
      </x:c>
      <x:c r="H34" s="12" t="str">
        <x:v>Paulo Cezar Fernandes de Melo</x:v>
      </x:c>
      <x:c r="I34" s="12" t="str">
        <x:v>Sócio-administrador</x:v>
      </x:c>
      <x:c r="J34" s="12" t="str">
        <x:v>(21) 2507-7373</x:v>
      </x:c>
      <x:c r="K34" s="12" t="str">
        <x:v>Institucional</x:v>
      </x:c>
      <x:c r="L34" s="12" t="str">
        <x:v>Alta</x:v>
      </x:c>
      <x:c r="M34" s="12" t="str">
        <x:v>R$ 150–200 mil (proxy)</x:v>
      </x:c>
      <x:c r="N34" s="12" t="str">
        <x:v>10–49 profissionais; capital social relevante; validar teto</x:v>
      </x:c>
      <x:c r="O34" s="12" t="str">
        <x:v>Sem estrutura dedicada localizada nas fontes consultadas; validar antes do contato</x:v>
      </x:c>
      <x:c r="P34" s="12" t="str">
        <x:v>Confirmar acesso ao decisor; depois validar faturamento + CX/CS</x:v>
      </x:c>
      <x:c r="Q34" s="12" t="str">
        <x:v>https://casadosdados.com.br/solucao/cnpj/personale-consultoria-e-treinamento-ltda-68753284000120</x:v>
      </x:c>
      <x:c r="R34" s="13" t="n">
        <x:v>46237.625</x:v>
      </x:c>
      <x:c r="S34" s="12" t="str">
        <x:v>Não iniciado</x:v>
      </x:c>
    </x:row>
    <x:row r="35" ht="31" customHeight="1">
      <x:c r="A35" s="11" t="n">
        <x:v>34</x:v>
      </x:c>
      <x:c r="B35" s="11" t="str">
        <x:f>IF(AND(C35&gt;=6,K35="Direto público"),"A",IF(C35&gt;=5,"B","Revisar"))</x:f>
        <x:v>B</x:v>
      </x:c>
      <x:c r="C35" s="11" t="n">
        <x:f>3+IF(K35="Direto público",2,1)+2</x:f>
        <x:v>6</x:v>
      </x:c>
      <x:c r="D35" s="12" t="str">
        <x:v>AGNIS Recursos Humanos</x:v>
      </x:c>
      <x:c r="E35" s="12" t="str">
        <x:v>RH e recrutamento</x:v>
      </x:c>
      <x:c r="F35" s="12" t="str">
        <x:v>Rio de Janeiro</x:v>
      </x:c>
      <x:c r="G35" s="12" t="str">
        <x:v>RJ</x:v>
      </x:c>
      <x:c r="H35" s="12" t="str">
        <x:v>Robson Caldas de Castro</x:v>
      </x:c>
      <x:c r="I35" s="12" t="str">
        <x:v>Fundador e sócio-administrador</x:v>
      </x:c>
      <x:c r="J35" s="12" t="str">
        <x:v>(21) 2524-8015</x:v>
      </x:c>
      <x:c r="K35" s="12" t="str">
        <x:v>Institucional</x:v>
      </x:c>
      <x:c r="L35" s="12" t="str">
        <x:v>Alta</x:v>
      </x:c>
      <x:c r="M35" s="12" t="str">
        <x:v>R$ 150–200 mil (proxy)</x:v>
      </x:c>
      <x:c r="N35" s="12" t="str">
        <x:v>Boutique ativa desde 2002; capital social de R$300 mil</x:v>
      </x:c>
      <x:c r="O35" s="12" t="str">
        <x:v>Sem estrutura dedicada localizada nas fontes consultadas; validar antes do contato</x:v>
      </x:c>
      <x:c r="P35" s="12" t="str">
        <x:v>Confirmar acesso ao decisor; depois validar faturamento + CX/CS</x:v>
      </x:c>
      <x:c r="Q35" s="12" t="str">
        <x:v>https://casadosdados.com.br/solucao/cnpj/agnis-recursos-humanos-ltda-05287851000180</x:v>
      </x:c>
      <x:c r="R35" s="13" t="n">
        <x:v>46237.625</x:v>
      </x:c>
      <x:c r="S35" s="12" t="str">
        <x:v>Não iniciado</x:v>
      </x:c>
    </x:row>
    <x:row r="36" ht="31" customHeight="1">
      <x:c r="A36" s="11" t="n">
        <x:v>35</x:v>
      </x:c>
      <x:c r="B36" s="11" t="str">
        <x:f>IF(AND(C36&gt;=6,K36="Direto público"),"A",IF(C36&gt;=5,"B","Revisar"))</x:f>
        <x:v>B</x:v>
      </x:c>
      <x:c r="C36" s="11" t="n">
        <x:f>2+IF(K36="Direto público",2,1)+2</x:f>
        <x:v>5</x:v>
      </x:c>
      <x:c r="D36" s="12" t="str">
        <x:v>Baggio RH</x:v>
      </x:c>
      <x:c r="E36" s="12" t="str">
        <x:v>RH e recrutamento</x:v>
      </x:c>
      <x:c r="F36" s="12" t="str">
        <x:v>Florianópolis</x:v>
      </x:c>
      <x:c r="G36" s="12" t="str">
        <x:v>SC</x:v>
      </x:c>
      <x:c r="H36" s="12" t="str">
        <x:v>Francine Baggio</x:v>
      </x:c>
      <x:c r="I36" s="12" t="str">
        <x:v>Fundadora</x:v>
      </x:c>
      <x:c r="J36" s="12" t="str">
        <x:v>(48) 3204-9456</x:v>
      </x:c>
      <x:c r="K36" s="12" t="str">
        <x:v>Institucional</x:v>
      </x:c>
      <x:c r="L36" s="12" t="str">
        <x:v>Média</x:v>
      </x:c>
      <x:c r="M36" s="12" t="str">
        <x:v>R$ 150–200 mil (proxy)</x:v>
      </x:c>
      <x:c r="N36" s="12" t="str">
        <x:v>Consultoria boutique de RH e headhunting</x:v>
      </x:c>
      <x:c r="O36" s="12" t="str">
        <x:v>Sem estrutura dedicada localizada nas fontes consultadas; validar antes do contato</x:v>
      </x:c>
      <x:c r="P36" s="12" t="str">
        <x:v>Confirmar acesso ao decisor; depois validar faturamento + CX/CS</x:v>
      </x:c>
      <x:c r="Q36" s="12" t="str">
        <x:v>https://baggiorh.com.br/</x:v>
      </x:c>
      <x:c r="R36" s="13" t="n">
        <x:v>46237.625</x:v>
      </x:c>
      <x:c r="S36" s="12" t="str">
        <x:v>Não iniciado</x:v>
      </x:c>
    </x:row>
    <x:row r="37" ht="31" customHeight="1">
      <x:c r="A37" s="11" t="n">
        <x:v>36</x:v>
      </x:c>
      <x:c r="B37" s="11" t="str">
        <x:f>IF(AND(C37&gt;=6,K37="Direto público"),"A",IF(C37&gt;=5,"B","Revisar"))</x:f>
        <x:v>A</x:v>
      </x:c>
      <x:c r="C37" s="11" t="n">
        <x:f>3+IF(K37="Direto público",2,1)+2</x:f>
        <x:v>7</x:v>
      </x:c>
      <x:c r="D37" s="12" t="str">
        <x:v>People TI</x:v>
      </x:c>
      <x:c r="E37" s="12" t="str">
        <x:v>RH e recrutamento</x:v>
      </x:c>
      <x:c r="F37" s="12" t="str">
        <x:v>Florianópolis</x:v>
      </x:c>
      <x:c r="G37" s="12" t="str">
        <x:v>SC</x:v>
      </x:c>
      <x:c r="H37" s="12" t="str">
        <x:v>Aline Schmitt</x:v>
      </x:c>
      <x:c r="I37" s="12" t="str">
        <x:v>Contato principal / liderança</x:v>
      </x:c>
      <x:c r="J37" s="12" t="str">
        <x:v>(48) 99620-1260</x:v>
      </x:c>
      <x:c r="K37" s="12" t="str">
        <x:v>Direto público</x:v>
      </x:c>
      <x:c r="L37" s="12" t="str">
        <x:v>Alta</x:v>
      </x:c>
      <x:c r="M37" s="12" t="str">
        <x:v>R$ 150–200 mil (proxy)</x:v>
      </x:c>
      <x:c r="N37" s="12" t="str">
        <x:v>Menos de 25 profissionais; fundada em 2009; 50+ avaliações</x:v>
      </x:c>
      <x:c r="O37" s="12" t="str">
        <x:v>Sem estrutura dedicada localizada nas fontes consultadas; validar antes do contato</x:v>
      </x:c>
      <x:c r="P37" s="12" t="str">
        <x:v>Contatar o decisor e validar faturamento + ausência de CX/CS</x:v>
      </x:c>
      <x:c r="Q37" s="12" t="str">
        <x:v>https://br.todosnegocios.com/pt/people-ti-consultoria-em-gest%C3%A3o-de-48-99620-1260</x:v>
      </x:c>
      <x:c r="R37" s="13" t="n">
        <x:v>46237.625</x:v>
      </x:c>
      <x:c r="S37" s="12" t="str">
        <x:v>Não iniciado</x:v>
      </x:c>
    </x:row>
    <x:row r="38" ht="31" customHeight="1">
      <x:c r="A38" s="11" t="n">
        <x:v>37</x:v>
      </x:c>
      <x:c r="B38" s="11" t="str">
        <x:f>IF(AND(C38&gt;=6,K38="Direto público"),"A",IF(C38&gt;=5,"B","Revisar"))</x:f>
        <x:v>A</x:v>
      </x:c>
      <x:c r="C38" s="11" t="n">
        <x:f>2+IF(K38="Direto público",2,1)+2</x:f>
        <x:v>6</x:v>
      </x:c>
      <x:c r="D38" s="12" t="str">
        <x:v>Talent Flow</x:v>
      </x:c>
      <x:c r="E38" s="12" t="str">
        <x:v>RH e recrutamento</x:v>
      </x:c>
      <x:c r="F38" s="12" t="str">
        <x:v>Curitiba</x:v>
      </x:c>
      <x:c r="G38" s="12" t="str">
        <x:v>PR</x:v>
      </x:c>
      <x:c r="H38" s="12" t="str">
        <x:v>Mariane Amador</x:v>
      </x:c>
      <x:c r="I38" s="12" t="str">
        <x:v>Sócia-fundadora</x:v>
      </x:c>
      <x:c r="J38" s="12" t="str">
        <x:v>(41) 99235-3983</x:v>
      </x:c>
      <x:c r="K38" s="12" t="str">
        <x:v>Direto público</x:v>
      </x:c>
      <x:c r="L38" s="12" t="str">
        <x:v>Média</x:v>
      </x:c>
      <x:c r="M38" s="12" t="str">
        <x:v>R$ 150–200 mil (proxy)</x:v>
      </x:c>
      <x:c r="N38" s="12" t="str">
        <x:v>Projetos recorrentes de transformação e liderança; 200+ organizações</x:v>
      </x:c>
      <x:c r="O38" s="12" t="str">
        <x:v>Sem estrutura dedicada localizada nas fontes consultadas; validar antes do contato</x:v>
      </x:c>
      <x:c r="P38" s="12" t="str">
        <x:v>Contatar o decisor e validar faturamento + ausência de CX/CS</x:v>
      </x:c>
      <x:c r="Q38" s="12" t="str">
        <x:v>https://www.talentflow.com.br/</x:v>
      </x:c>
      <x:c r="R38" s="13" t="n">
        <x:v>46237.625</x:v>
      </x:c>
      <x:c r="S38" s="12" t="str">
        <x:v>Não iniciado</x:v>
      </x:c>
    </x:row>
    <x:row r="39" ht="31" customHeight="1">
      <x:c r="A39" s="11" t="n">
        <x:v>38</x:v>
      </x:c>
      <x:c r="B39" s="11" t="str">
        <x:f>IF(AND(C39&gt;=6,K39="Direto público"),"A",IF(C39&gt;=5,"B","Revisar"))</x:f>
        <x:v>B</x:v>
      </x:c>
      <x:c r="C39" s="11" t="n">
        <x:f>2+IF(K39="Direto público",2,1)+1</x:f>
        <x:v>5</x:v>
      </x:c>
      <x:c r="D39" s="12" t="str">
        <x:v>Pra Gente RH Consultoria</x:v>
      </x:c>
      <x:c r="E39" s="12" t="str">
        <x:v>RH e recrutamento</x:v>
      </x:c>
      <x:c r="F39" s="12" t="str">
        <x:v>Indaiatuba</x:v>
      </x:c>
      <x:c r="G39" s="12" t="str">
        <x:v>SP</x:v>
      </x:c>
      <x:c r="H39" s="12" t="str">
        <x:v>Jacqueline Ivo</x:v>
      </x:c>
      <x:c r="I39" s="12" t="str">
        <x:v>Fundadora</x:v>
      </x:c>
      <x:c r="J39" s="12" t="str">
        <x:v>(19) 98280-6563</x:v>
      </x:c>
      <x:c r="K39" s="12" t="str">
        <x:v>Direto público</x:v>
      </x:c>
      <x:c r="L39" s="12" t="str">
        <x:v>Média</x:v>
      </x:c>
      <x:c r="M39" s="12" t="str">
        <x:v>R$ 100–150 mil (proxy)</x:v>
      </x:c>
      <x:c r="N39" s="12" t="str">
        <x:v>PMEs; estruturação de RH e recrutamento desde 2020</x:v>
      </x:c>
      <x:c r="O39" s="12" t="str">
        <x:v>Sem estrutura dedicada localizada nas fontes consultadas; validar antes do contato</x:v>
      </x:c>
      <x:c r="P39" s="12" t="str">
        <x:v>Contatar o decisor e validar faturamento + ausência de CX/CS</x:v>
      </x:c>
      <x:c r="Q39" s="12" t="str">
        <x:v>https://pragenterh.com/</x:v>
      </x:c>
      <x:c r="R39" s="13" t="n">
        <x:v>46237.625</x:v>
      </x:c>
      <x:c r="S39" s="12" t="str">
        <x:v>Não iniciado</x:v>
      </x:c>
    </x:row>
    <x:row r="40" ht="31" customHeight="1">
      <x:c r="A40" s="11" t="n">
        <x:v>39</x:v>
      </x:c>
      <x:c r="B40" s="11" t="str">
        <x:f>IF(AND(C40&gt;=6,K40="Direto público"),"A",IF(C40&gt;=5,"B","Revisar"))</x:f>
        <x:v>B</x:v>
      </x:c>
      <x:c r="C40" s="11" t="n">
        <x:f>2+IF(K40="Direto público",2,1)+1</x:f>
        <x:v>5</x:v>
      </x:c>
      <x:c r="D40" s="12" t="str">
        <x:v>Rhino RH</x:v>
      </x:c>
      <x:c r="E40" s="12" t="str">
        <x:v>RH e treinamento</x:v>
      </x:c>
      <x:c r="F40" s="12" t="str">
        <x:v>Campinas</x:v>
      </x:c>
      <x:c r="G40" s="12" t="str">
        <x:v>SP</x:v>
      </x:c>
      <x:c r="H40" s="12" t="str">
        <x:v>Graziela Forestieri Silva Moggio</x:v>
      </x:c>
      <x:c r="I40" s="12" t="str">
        <x:v>Sócia-administradora</x:v>
      </x:c>
      <x:c r="J40" s="12" t="str">
        <x:v>(19) 98110-1721</x:v>
      </x:c>
      <x:c r="K40" s="12" t="str">
        <x:v>Direto público</x:v>
      </x:c>
      <x:c r="L40" s="12" t="str">
        <x:v>Média</x:v>
      </x:c>
      <x:c r="M40" s="12" t="str">
        <x:v>R$ 100–150 mil (proxy)</x:v>
      </x:c>
      <x:c r="N40" s="12" t="str">
        <x:v>Ativa; consultoria e treinamento recorrente; celular societário</x:v>
      </x:c>
      <x:c r="O40" s="12" t="str">
        <x:v>Sem estrutura dedicada localizada nas fontes consultadas; validar antes do contato</x:v>
      </x:c>
      <x:c r="P40" s="12" t="str">
        <x:v>Contatar o decisor e validar faturamento + ausência de CX/CS</x:v>
      </x:c>
      <x:c r="Q40" s="12" t="str">
        <x:v>https://casadosdados.com.br/solucao/cnpj/rhino-rh-ltda-29872329000124</x:v>
      </x:c>
      <x:c r="R40" s="13" t="n">
        <x:v>46237.625</x:v>
      </x:c>
      <x:c r="S40" s="12" t="str">
        <x:v>Não iniciado</x:v>
      </x:c>
    </x:row>
    <x:row r="41" ht="31" customHeight="1">
      <x:c r="A41" s="11" t="n">
        <x:v>40</x:v>
      </x:c>
      <x:c r="B41" s="11" t="str">
        <x:f>IF(AND(C41&gt;=6,K41="Direto público"),"A",IF(C41&gt;=5,"B","Revisar"))</x:f>
        <x:v>B</x:v>
      </x:c>
      <x:c r="C41" s="11" t="n">
        <x:f>2+IF(K41="Direto público",2,1)+2</x:f>
        <x:v>5</x:v>
      </x:c>
      <x:c r="D41" s="12" t="str">
        <x:v>Devides Soluções em RH</x:v>
      </x:c>
      <x:c r="E41" s="12" t="str">
        <x:v>RH e recrutamento</x:v>
      </x:c>
      <x:c r="F41" s="12" t="str">
        <x:v>São Paulo</x:v>
      </x:c>
      <x:c r="G41" s="12" t="str">
        <x:v>SP</x:v>
      </x:c>
      <x:c r="H41" s="12" t="str">
        <x:v>Bianca (fundadora)</x:v>
      </x:c>
      <x:c r="I41" s="12" t="str">
        <x:v>Fundadora</x:v>
      </x:c>
      <x:c r="J41" s="12" t="str">
        <x:v>Site / formulário</x:v>
      </x:c>
      <x:c r="K41" s="12" t="str">
        <x:v>Institucional</x:v>
      </x:c>
      <x:c r="L41" s="12" t="str">
        <x:v>Média</x:v>
      </x:c>
      <x:c r="M41" s="12" t="str">
        <x:v>R$ 150–200 mil (proxy)</x:v>
      </x:c>
      <x:c r="N41" s="12" t="str">
        <x:v>Consultoria estratégica de RH e mentoria contínua; validar faixa superior</x:v>
      </x:c>
      <x:c r="O41" s="12" t="str">
        <x:v>Sem estrutura dedicada localizada nas fontes consultadas; validar antes do contato</x:v>
      </x:c>
      <x:c r="P41" s="12" t="str">
        <x:v>Confirmar acesso ao decisor; depois validar faturamento + CX/CS</x:v>
      </x:c>
      <x:c r="Q41" s="12" t="str">
        <x:v>https://devides.com.br/</x:v>
      </x:c>
      <x:c r="R41" s="13" t="n">
        <x:v>46237.625</x:v>
      </x:c>
      <x:c r="S41" s="12" t="str">
        <x:v>Não iniciado</x:v>
      </x:c>
    </x:row>
    <x:row r="42" ht="31" customHeight="1">
      <x:c r="A42" s="11" t="n">
        <x:v>41</x:v>
      </x:c>
      <x:c r="B42" s="11" t="str">
        <x:f>IF(AND(C42&gt;=6,K42="Direto público"),"A",IF(C42&gt;=5,"B","Revisar"))</x:f>
        <x:v>B</x:v>
      </x:c>
      <x:c r="C42" s="11" t="n">
        <x:f>2+IF(K42="Direto público",2,1)+1</x:f>
        <x:v>5</x:v>
      </x:c>
      <x:c r="D42" s="12" t="str">
        <x:v>Grupo RH &amp; Você</x:v>
      </x:c>
      <x:c r="E42" s="12" t="str">
        <x:v>RH e treinamento</x:v>
      </x:c>
      <x:c r="F42" s="12" t="str">
        <x:v>Ribeirão Preto</x:v>
      </x:c>
      <x:c r="G42" s="12" t="str">
        <x:v>SP</x:v>
      </x:c>
      <x:c r="H42" s="12" t="str">
        <x:v>Daiane Brito</x:v>
      </x:c>
      <x:c r="I42" s="12" t="str">
        <x:v>Fundadora</x:v>
      </x:c>
      <x:c r="J42" s="12" t="str">
        <x:v>(16) 99202-9723</x:v>
      </x:c>
      <x:c r="K42" s="12" t="str">
        <x:v>Direto público</x:v>
      </x:c>
      <x:c r="L42" s="12" t="str">
        <x:v>Média</x:v>
      </x:c>
      <x:c r="M42" s="12" t="str">
        <x:v>R$ 100–150 mil (proxy)</x:v>
      </x:c>
      <x:c r="N42" s="12" t="str">
        <x:v>Comunidade e serviços de RH desde 2013; canal direto</x:v>
      </x:c>
      <x:c r="O42" s="12" t="str">
        <x:v>Sem estrutura dedicada localizada nas fontes consultadas; validar antes do contato</x:v>
      </x:c>
      <x:c r="P42" s="12" t="str">
        <x:v>Contatar o decisor e validar faturamento + ausência de CX/CS</x:v>
      </x:c>
      <x:c r="Q42" s="12" t="str">
        <x:v>https://gruporhevoce.com.br/quem-somos/</x:v>
      </x:c>
      <x:c r="R42" s="13" t="n">
        <x:v>46237.625</x:v>
      </x:c>
      <x:c r="S42" s="12" t="str">
        <x:v>Não iniciado</x:v>
      </x:c>
    </x:row>
    <x:row r="43" ht="31" customHeight="1">
      <x:c r="A43" s="11" t="n">
        <x:v>42</x:v>
      </x:c>
      <x:c r="B43" s="11" t="str">
        <x:f>IF(AND(C43&gt;=6,K43="Direto público"),"A",IF(C43&gt;=5,"B","Revisar"))</x:f>
        <x:v>B</x:v>
      </x:c>
      <x:c r="C43" s="11" t="n">
        <x:f>2+IF(K43="Direto público",2,1)+1</x:f>
        <x:v>5</x:v>
      </x:c>
      <x:c r="D43" s="12" t="str">
        <x:v>L&amp;S Consultoria de RH</x:v>
      </x:c>
      <x:c r="E43" s="12" t="str">
        <x:v>RH por assinatura</x:v>
      </x:c>
      <x:c r="F43" s="12" t="str">
        <x:v>Brasil (remoto)</x:v>
      </x:c>
      <x:c r="G43" s="12" t="str">
        <x:v>BR</x:v>
      </x:c>
      <x:c r="H43" s="12" t="str">
        <x:v>Leidianne de Souza</x:v>
      </x:c>
      <x:c r="I43" s="12" t="str">
        <x:v>Fundadora</x:v>
      </x:c>
      <x:c r="J43" s="12" t="str">
        <x:v>Site / WhatsApp</x:v>
      </x:c>
      <x:c r="K43" s="12" t="str">
        <x:v>Direto público</x:v>
      </x:c>
      <x:c r="L43" s="12" t="str">
        <x:v>Média</x:v>
      </x:c>
      <x:c r="M43" s="12" t="str">
        <x:v>R$ 100–150 mil (proxy)</x:v>
      </x:c>
      <x:c r="N43" s="12" t="str">
        <x:v>Planos mensais de RH por assinatura para PMEs</x:v>
      </x:c>
      <x:c r="O43" s="12" t="str">
        <x:v>Sem estrutura dedicada localizada nas fontes consultadas; validar antes do contato</x:v>
      </x:c>
      <x:c r="P43" s="12" t="str">
        <x:v>Contatar o decisor e validar faturamento + ausência de CX/CS</x:v>
      </x:c>
      <x:c r="Q43" s="12" t="str">
        <x:v>https://lsconsultoriaderhedesenvolvimento.lovable.app/</x:v>
      </x:c>
      <x:c r="R43" s="13" t="n">
        <x:v>46237.625</x:v>
      </x:c>
      <x:c r="S43" s="12" t="str">
        <x:v>Não iniciado</x:v>
      </x:c>
    </x:row>
    <x:row r="44" ht="31" customHeight="1">
      <x:c r="A44" s="11" t="n">
        <x:v>43</x:v>
      </x:c>
      <x:c r="B44" s="11" t="str">
        <x:f>IF(AND(C44&gt;=6,K44="Direto público"),"A",IF(C44&gt;=5,"B","Revisar"))</x:f>
        <x:v>A</x:v>
      </x:c>
      <x:c r="C44" s="11" t="n">
        <x:f>3+IF(K44="Direto público",2,1)+2</x:f>
        <x:v>7</x:v>
      </x:c>
      <x:c r="D44" s="12" t="str">
        <x:v>Gria</x:v>
      </x:c>
      <x:c r="E44" s="12" t="str">
        <x:v>RH e recrutamento</x:v>
      </x:c>
      <x:c r="F44" s="12" t="str">
        <x:v>Barueri</x:v>
      </x:c>
      <x:c r="G44" s="12" t="str">
        <x:v>SP</x:v>
      </x:c>
      <x:c r="H44" s="12" t="str">
        <x:v>Bernardo Matz</x:v>
      </x:c>
      <x:c r="I44" s="12" t="str">
        <x:v>Fundador</x:v>
      </x:c>
      <x:c r="J44" s="12" t="str">
        <x:v>(21) 99992-2724</x:v>
      </x:c>
      <x:c r="K44" s="12" t="str">
        <x:v>Direto público</x:v>
      </x:c>
      <x:c r="L44" s="12" t="str">
        <x:v>Alta</x:v>
      </x:c>
      <x:c r="M44" s="12" t="str">
        <x:v>R$ 150–200 mil (proxy)</x:v>
      </x:c>
      <x:c r="N44" s="12" t="str">
        <x:v>11–50 profissionais; B2B; aporte-anjo e solução recorrente</x:v>
      </x:c>
      <x:c r="O44" s="12" t="str">
        <x:v>Sem estrutura dedicada localizada nas fontes consultadas; validar antes do contato</x:v>
      </x:c>
      <x:c r="P44" s="12" t="str">
        <x:v>Contatar o decisor e validar faturamento + ausência de CX/CS</x:v>
      </x:c>
      <x:c r="Q44" s="12" t="str">
        <x:v>https://wellfound.com/company/gria/people</x:v>
      </x:c>
      <x:c r="R44" s="13" t="n">
        <x:v>46237.625</x:v>
      </x:c>
      <x:c r="S44" s="12" t="str">
        <x:v>Não iniciado</x:v>
      </x:c>
    </x:row>
    <x:row r="45" ht="31" customHeight="1">
      <x:c r="A45" s="11" t="n">
        <x:v>44</x:v>
      </x:c>
      <x:c r="B45" s="11" t="str">
        <x:f>IF(AND(C45&gt;=6,K45="Direto público"),"A",IF(C45&gt;=5,"B","Revisar"))</x:f>
        <x:v>B</x:v>
      </x:c>
      <x:c r="C45" s="11" t="n">
        <x:f>3+IF(K45="Direto público",2,1)+2</x:f>
        <x:v>6</x:v>
      </x:c>
      <x:c r="D45" s="12" t="str">
        <x:v>HUNT IT Tech Recruiting</x:v>
      </x:c>
      <x:c r="E45" s="12" t="str">
        <x:v>RH e recrutamento</x:v>
      </x:c>
      <x:c r="F45" s="12" t="str">
        <x:v>São Paulo</x:v>
      </x:c>
      <x:c r="G45" s="12" t="str">
        <x:v>SP</x:v>
      </x:c>
      <x:c r="H45" s="12" t="str">
        <x:v>Jonas Kaffka</x:v>
      </x:c>
      <x:c r="I45" s="12" t="str">
        <x:v>Diretor de negócios</x:v>
      </x:c>
      <x:c r="J45" s="12" t="str">
        <x:v>LinkedIn / site</x:v>
      </x:c>
      <x:c r="K45" s="12" t="str">
        <x:v>Institucional</x:v>
      </x:c>
      <x:c r="L45" s="12" t="str">
        <x:v>Alta</x:v>
      </x:c>
      <x:c r="M45" s="12" t="str">
        <x:v>R$ 150–200 mil (proxy)</x:v>
      </x:c>
      <x:c r="N45" s="12" t="str">
        <x:v>10–49 profissionais; ticket mínimo de US$5 mil</x:v>
      </x:c>
      <x:c r="O45" s="12" t="str">
        <x:v>Sem estrutura dedicada localizada nas fontes consultadas; validar antes do contato</x:v>
      </x:c>
      <x:c r="P45" s="12" t="str">
        <x:v>Confirmar acesso ao decisor; depois validar faturamento + CX/CS</x:v>
      </x:c>
      <x:c r="Q45" s="12" t="str">
        <x:v>https://clutch.co/profile/hunt-it-tech-recruiting-agency</x:v>
      </x:c>
      <x:c r="R45" s="13" t="n">
        <x:v>46237.625</x:v>
      </x:c>
      <x:c r="S45" s="12" t="str">
        <x:v>Não iniciado</x:v>
      </x:c>
    </x:row>
    <x:row r="46" ht="31" customHeight="1">
      <x:c r="A46" s="11" t="n">
        <x:v>45</x:v>
      </x:c>
      <x:c r="B46" s="11" t="str">
        <x:f>IF(AND(C46&gt;=6,K46="Direto público"),"A",IF(C46&gt;=5,"B","Revisar"))</x:f>
        <x:v>A</x:v>
      </x:c>
      <x:c r="C46" s="11" t="n">
        <x:f>3+IF(K46="Direto público",2,1)+2</x:f>
        <x:v>7</x:v>
      </x:c>
      <x:c r="D46" s="12" t="str">
        <x:v>Workoast</x:v>
      </x:c>
      <x:c r="E46" s="12" t="str">
        <x:v>RH tech / squads</x:v>
      </x:c>
      <x:c r="F46" s="12" t="str">
        <x:v>Maringá</x:v>
      </x:c>
      <x:c r="G46" s="12" t="str">
        <x:v>PR</x:v>
      </x:c>
      <x:c r="H46" s="12" t="str">
        <x:v>Lucas Santana Garcia</x:v>
      </x:c>
      <x:c r="I46" s="12" t="str">
        <x:v>Sócio-administrador</x:v>
      </x:c>
      <x:c r="J46" s="12" t="str">
        <x:v>(44) 99891-9733</x:v>
      </x:c>
      <x:c r="K46" s="12" t="str">
        <x:v>Direto público</x:v>
      </x:c>
      <x:c r="L46" s="12" t="str">
        <x:v>Alta</x:v>
      </x:c>
      <x:c r="M46" s="12" t="str">
        <x:v>R$ 150–200 mil (proxy)</x:v>
      </x:c>
      <x:c r="N46" s="12" t="str">
        <x:v>10–49 em diretório; cobrança mensal por horas; capital R$100 mil</x:v>
      </x:c>
      <x:c r="O46" s="12" t="str">
        <x:v>Sem estrutura dedicada localizada nas fontes consultadas; validar antes do contato</x:v>
      </x:c>
      <x:c r="P46" s="12" t="str">
        <x:v>Contatar o decisor e validar faturamento + ausência de CX/CS</x:v>
      </x:c>
      <x:c r="Q46" s="12" t="str">
        <x:v>https://b2bleads.com.br/empresa/44719717000163</x:v>
      </x:c>
      <x:c r="R46" s="13" t="n">
        <x:v>46237.625</x:v>
      </x:c>
      <x:c r="S46" s="12" t="str">
        <x:v>Não iniciado</x:v>
      </x:c>
    </x:row>
    <x:row r="47" ht="31" customHeight="1">
      <x:c r="A47" s="11" t="n">
        <x:v>46</x:v>
      </x:c>
      <x:c r="B47" s="11" t="str">
        <x:f>IF(AND(C47&gt;=6,K47="Direto público"),"A",IF(C47&gt;=5,"B","Revisar"))</x:f>
        <x:v>B</x:v>
      </x:c>
      <x:c r="C47" s="11" t="n">
        <x:f>2+IF(K47="Direto público",2,1)+1</x:f>
        <x:v>5</x:v>
      </x:c>
      <x:c r="D47" s="12" t="str">
        <x:v>Agência WnWeb</x:v>
      </x:c>
      <x:c r="E47" s="12" t="str">
        <x:v>Marketing digital</x:v>
      </x:c>
      <x:c r="F47" s="12" t="str">
        <x:v>Porto Alegre</x:v>
      </x:c>
      <x:c r="G47" s="12" t="str">
        <x:v>RS</x:v>
      </x:c>
      <x:c r="H47" s="12" t="str">
        <x:v>William Christian Tormen</x:v>
      </x:c>
      <x:c r="I47" s="12" t="str">
        <x:v>Sócio-administrador</x:v>
      </x:c>
      <x:c r="J47" s="12" t="str">
        <x:v>(51) 98421-7038</x:v>
      </x:c>
      <x:c r="K47" s="12" t="str">
        <x:v>Direto público</x:v>
      </x:c>
      <x:c r="L47" s="12" t="str">
        <x:v>Média</x:v>
      </x:c>
      <x:c r="M47" s="12" t="str">
        <x:v>R$ 100–150 mil (proxy)</x:v>
      </x:c>
      <x:c r="N47" s="12" t="str">
        <x:v>2–9 profissionais; ticket/hora compatível; SEO recorrente</x:v>
      </x:c>
      <x:c r="O47" s="12" t="str">
        <x:v>Sem estrutura dedicada localizada nas fontes consultadas; validar antes do contato</x:v>
      </x:c>
      <x:c r="P47" s="12" t="str">
        <x:v>Contatar o decisor e validar faturamento + ausência de CX/CS</x:v>
      </x:c>
      <x:c r="Q47" s="12" t="str">
        <x:v>https://www.econodata.com.br/consulta-empresa/08642596000135-agencia-digital-wnweb-e-ninjaseo-ltda</x:v>
      </x:c>
      <x:c r="R47" s="13" t="n">
        <x:v>46237.625</x:v>
      </x:c>
      <x:c r="S47" s="12" t="str">
        <x:v>Não iniciado</x:v>
      </x:c>
    </x:row>
    <x:row r="48" ht="31" customHeight="1">
      <x:c r="A48" s="11" t="n">
        <x:v>47</x:v>
      </x:c>
      <x:c r="B48" s="11" t="str">
        <x:f>IF(AND(C48&gt;=6,K48="Direto público"),"A",IF(C48&gt;=5,"B","Revisar"))</x:f>
        <x:v>B</x:v>
      </x:c>
      <x:c r="C48" s="11" t="n">
        <x:f>3+IF(K48="Direto público",2,1)+2</x:f>
        <x:v>6</x:v>
      </x:c>
      <x:c r="D48" s="12" t="str">
        <x:v>Inside Digital</x:v>
      </x:c>
      <x:c r="E48" s="12" t="str">
        <x:v>Marketing digital</x:v>
      </x:c>
      <x:c r="F48" s="12" t="str">
        <x:v>Palhoça</x:v>
      </x:c>
      <x:c r="G48" s="12" t="str">
        <x:v>SC</x:v>
      </x:c>
      <x:c r="H48" s="12" t="str">
        <x:v>Diego Martins</x:v>
      </x:c>
      <x:c r="I48" s="12" t="str">
        <x:v>Sócio-administrador</x:v>
      </x:c>
      <x:c r="J48" s="12" t="str">
        <x:v>(48) 3066-8146</x:v>
      </x:c>
      <x:c r="K48" s="12" t="str">
        <x:v>Institucional</x:v>
      </x:c>
      <x:c r="L48" s="12" t="str">
        <x:v>Alta</x:v>
      </x:c>
      <x:c r="M48" s="12" t="str">
        <x:v>R$ 150–200 mil (proxy)</x:v>
      </x:c>
      <x:c r="N48" s="12" t="str">
        <x:v>10–49 profissionais; marketing recorrente</x:v>
      </x:c>
      <x:c r="O48" s="12" t="str">
        <x:v>Sem estrutura dedicada localizada nas fontes consultadas; validar antes do contato</x:v>
      </x:c>
      <x:c r="P48" s="12" t="str">
        <x:v>Confirmar acesso ao decisor; depois validar faturamento + CX/CS</x:v>
      </x:c>
      <x:c r="Q48" s="12" t="str">
        <x:v>https://casadosdados.com.br/solucao/cnpj/inside-digital-ltda-29631079000130</x:v>
      </x:c>
      <x:c r="R48" s="13" t="n">
        <x:v>46237.625</x:v>
      </x:c>
      <x:c r="S48" s="12" t="str">
        <x:v>Não iniciado</x:v>
      </x:c>
    </x:row>
    <x:row r="49" ht="31" customHeight="1">
      <x:c r="A49" s="11" t="n">
        <x:v>48</x:v>
      </x:c>
      <x:c r="B49" s="11" t="str">
        <x:f>IF(AND(C49&gt;=6,K49="Direto público"),"A",IF(C49&gt;=5,"B","Revisar"))</x:f>
        <x:v>A</x:v>
      </x:c>
      <x:c r="C49" s="11" t="n">
        <x:f>3+IF(K49="Direto público",2,1)+2</x:f>
        <x:v>7</x:v>
      </x:c>
      <x:c r="D49" s="12" t="str">
        <x:v>The Growth Agency</x:v>
      </x:c>
      <x:c r="E49" s="12" t="str">
        <x:v>Marketing digital</x:v>
      </x:c>
      <x:c r="F49" s="12" t="str">
        <x:v>Florianópolis</x:v>
      </x:c>
      <x:c r="G49" s="12" t="str">
        <x:v>SC</x:v>
      </x:c>
      <x:c r="H49" s="12" t="str">
        <x:v>Eveline Smet</x:v>
      </x:c>
      <x:c r="I49" s="12" t="str">
        <x:v>Fundadora e CEO</x:v>
      </x:c>
      <x:c r="J49" s="12" t="str">
        <x:v>(48) 99838-6090</x:v>
      </x:c>
      <x:c r="K49" s="12" t="str">
        <x:v>Direto público</x:v>
      </x:c>
      <x:c r="L49" s="12" t="str">
        <x:v>Alta</x:v>
      </x:c>
      <x:c r="M49" s="12" t="str">
        <x:v>R$ 150–200 mil (proxy)</x:v>
      </x:c>
      <x:c r="N49" s="12" t="str">
        <x:v>10–49 profissionais e ticket mínimo alto; validar entidade brasileira</x:v>
      </x:c>
      <x:c r="O49" s="12" t="str">
        <x:v>Sem estrutura dedicada localizada nas fontes consultadas; validar antes do contato</x:v>
      </x:c>
      <x:c r="P49" s="12" t="str">
        <x:v>Contatar o decisor e validar faturamento + ausência de CX/CS</x:v>
      </x:c>
      <x:c r="Q49" s="12" t="str">
        <x:v>https://www.growthagency.co/</x:v>
      </x:c>
      <x:c r="R49" s="13" t="n">
        <x:v>46237.625</x:v>
      </x:c>
      <x:c r="S49" s="12" t="str">
        <x:v>Não iniciado</x:v>
      </x:c>
    </x:row>
    <x:row r="50" ht="31" customHeight="1">
      <x:c r="A50" s="11" t="n">
        <x:v>49</x:v>
      </x:c>
      <x:c r="B50" s="11" t="str">
        <x:f>IF(AND(C50&gt;=6,K50="Direto público"),"A",IF(C50&gt;=5,"B","Revisar"))</x:f>
        <x:v>B</x:v>
      </x:c>
      <x:c r="C50" s="11" t="n">
        <x:f>3+IF(K50="Direto público",2,1)+2</x:f>
        <x:v>6</x:v>
      </x:c>
      <x:c r="D50" s="12" t="str">
        <x:v>Bolt Brasil</x:v>
      </x:c>
      <x:c r="E50" s="12" t="str">
        <x:v>Marketing e comunicação</x:v>
      </x:c>
      <x:c r="F50" s="12" t="str">
        <x:v>Belo Horizonte</x:v>
      </x:c>
      <x:c r="G50" s="12" t="str">
        <x:v>MG</x:v>
      </x:c>
      <x:c r="H50" s="12" t="str">
        <x:v>Alexandre Estanislau</x:v>
      </x:c>
      <x:c r="I50" s="12" t="str">
        <x:v>Fundador</x:v>
      </x:c>
      <x:c r="J50" s="12" t="str">
        <x:v>Site / LinkedIn</x:v>
      </x:c>
      <x:c r="K50" s="12" t="str">
        <x:v>Institucional</x:v>
      </x:c>
      <x:c r="L50" s="12" t="str">
        <x:v>Alta</x:v>
      </x:c>
      <x:c r="M50" s="12" t="str">
        <x:v>R$ 150–200 mil (proxy)</x:v>
      </x:c>
      <x:c r="N50" s="12" t="str">
        <x:v>13–14 profissionais; serviços recorrentes de comunicação</x:v>
      </x:c>
      <x:c r="O50" s="12" t="str">
        <x:v>Sem estrutura dedicada localizada nas fontes consultadas; validar antes do contato</x:v>
      </x:c>
      <x:c r="P50" s="12" t="str">
        <x:v>Confirmar acesso ao decisor; depois validar faturamento + CX/CS</x:v>
      </x:c>
      <x:c r="Q50" s="12" t="str">
        <x:v>https://br.linkedin.com/company/bolt-brasil-comunica-o-digital</x:v>
      </x:c>
      <x:c r="R50" s="13" t="n">
        <x:v>46237.625</x:v>
      </x:c>
      <x:c r="S50" s="12" t="str">
        <x:v>Não iniciado</x:v>
      </x:c>
    </x:row>
    <x:row r="51" ht="31" customHeight="1">
      <x:c r="A51" s="11" t="n">
        <x:v>50</x:v>
      </x:c>
      <x:c r="B51" s="11" t="str">
        <x:f>IF(AND(C51&gt;=6,K51="Direto público"),"A",IF(C51&gt;=5,"B","Revisar"))</x:f>
        <x:v>B</x:v>
      </x:c>
      <x:c r="C51" s="11" t="n">
        <x:f>3+IF(K51="Direto público",2,1)+2</x:f>
        <x:v>6</x:v>
      </x:c>
      <x:c r="D51" s="12" t="str">
        <x:v>Agency Madison</x:v>
      </x:c>
      <x:c r="E51" s="12" t="str">
        <x:v>Marketing e branding</x:v>
      </x:c>
      <x:c r="F51" s="12" t="str">
        <x:v>Jundiaí</x:v>
      </x:c>
      <x:c r="G51" s="12" t="str">
        <x:v>SP</x:v>
      </x:c>
      <x:c r="H51" s="12" t="str">
        <x:v>Glauco Infanti</x:v>
      </x:c>
      <x:c r="I51" s="12" t="str">
        <x:v>Liderança / decisor</x:v>
      </x:c>
      <x:c r="J51" s="12" t="str">
        <x:v>(11) 3446-1123</x:v>
      </x:c>
      <x:c r="K51" s="12" t="str">
        <x:v>Institucional</x:v>
      </x:c>
      <x:c r="L51" s="12" t="str">
        <x:v>Alta</x:v>
      </x:c>
      <x:c r="M51" s="12" t="str">
        <x:v>R$ 150–200 mil (proxy)</x:v>
      </x:c>
      <x:c r="N51" s="12" t="str">
        <x:v>10–15 profissionais; ticket de US$100–149/h</x:v>
      </x:c>
      <x:c r="O51" s="12" t="str">
        <x:v>Sem estrutura dedicada localizada nas fontes consultadas; validar antes do contato</x:v>
      </x:c>
      <x:c r="P51" s="12" t="str">
        <x:v>Confirmar acesso ao decisor; depois validar faturamento + CX/CS</x:v>
      </x:c>
      <x:c r="Q51" s="12" t="str">
        <x:v>https://clutch.co/br/agencies/branding</x:v>
      </x:c>
      <x:c r="R51" s="13" t="n">
        <x:v>46237.625</x:v>
      </x:c>
      <x:c r="S51" s="12" t="str">
        <x:v>Não iniciado</x:v>
      </x:c>
    </x:row>
    <x:row r="52" ht="31" customHeight="1">
      <x:c r="A52" s="11" t="n">
        <x:v>51</x:v>
      </x:c>
      <x:c r="B52" s="11" t="str">
        <x:f>IF(AND(C52&gt;=6,K52="Direto público"),"A",IF(C52&gt;=5,"B","Revisar"))</x:f>
        <x:v>B</x:v>
      </x:c>
      <x:c r="C52" s="11" t="n">
        <x:f>2+IF(K52="Direto público",2,1)+1</x:f>
        <x:v>5</x:v>
      </x:c>
      <x:c r="D52" s="12" t="str">
        <x:v>Dois Palitos Marketing</x:v>
      </x:c>
      <x:c r="E52" s="12" t="str">
        <x:v>Marketing digital</x:v>
      </x:c>
      <x:c r="F52" s="12" t="str">
        <x:v>São Paulo</x:v>
      </x:c>
      <x:c r="G52" s="12" t="str">
        <x:v>SP</x:v>
      </x:c>
      <x:c r="H52" s="12" t="str">
        <x:v>Aramis Magwitz</x:v>
      </x:c>
      <x:c r="I52" s="12" t="str">
        <x:v>Sócio-fundador</x:v>
      </x:c>
      <x:c r="J52" s="12" t="str">
        <x:v>(11) 96356-3678</x:v>
      </x:c>
      <x:c r="K52" s="12" t="str">
        <x:v>Direto público</x:v>
      </x:c>
      <x:c r="L52" s="12" t="str">
        <x:v>Média</x:v>
      </x:c>
      <x:c r="M52" s="12" t="str">
        <x:v>R$ 100–150 mil (proxy)</x:v>
      </x:c>
      <x:c r="N52" s="12" t="str">
        <x:v>Equipe multidisciplinar e contratos recorrentes</x:v>
      </x:c>
      <x:c r="O52" s="12" t="str">
        <x:v>Sem estrutura dedicada localizada nas fontes consultadas; validar antes do contato</x:v>
      </x:c>
      <x:c r="P52" s="12" t="str">
        <x:v>Contatar o decisor e validar faturamento + ausência de CX/CS</x:v>
      </x:c>
      <x:c r="Q52" s="12" t="str">
        <x:v>https://doispalitosmkt.com.br/sobre-nos/</x:v>
      </x:c>
      <x:c r="R52" s="13" t="n">
        <x:v>46237.625</x:v>
      </x:c>
      <x:c r="S52" s="12" t="str">
        <x:v>Não iniciado</x:v>
      </x:c>
    </x:row>
    <x:row r="53" ht="31" customHeight="1">
      <x:c r="A53" s="11" t="n">
        <x:v>52</x:v>
      </x:c>
      <x:c r="B53" s="11" t="str">
        <x:f>IF(AND(C53&gt;=6,K53="Direto público"),"A",IF(C53&gt;=5,"B","Revisar"))</x:f>
        <x:v>B</x:v>
      </x:c>
      <x:c r="C53" s="11" t="n">
        <x:f>2+IF(K53="Direto público",2,1)+1</x:f>
        <x:v>5</x:v>
      </x:c>
      <x:c r="D53" s="12" t="str">
        <x:v>Agência Spine</x:v>
      </x:c>
      <x:c r="E53" s="12" t="str">
        <x:v>Marketing e publicidade</x:v>
      </x:c>
      <x:c r="F53" s="12" t="str">
        <x:v>São Paulo</x:v>
      </x:c>
      <x:c r="G53" s="12" t="str">
        <x:v>SP</x:v>
      </x:c>
      <x:c r="H53" s="12" t="str">
        <x:v>Manoel Lopes</x:v>
      </x:c>
      <x:c r="I53" s="12" t="str">
        <x:v>Fundador</x:v>
      </x:c>
      <x:c r="J53" s="12" t="str">
        <x:v>(11) 4040-4262</x:v>
      </x:c>
      <x:c r="K53" s="12" t="str">
        <x:v>Direto público</x:v>
      </x:c>
      <x:c r="L53" s="12" t="str">
        <x:v>Média</x:v>
      </x:c>
      <x:c r="M53" s="12" t="str">
        <x:v>R$ 100–150 mil (proxy)</x:v>
      </x:c>
      <x:c r="N53" s="12" t="str">
        <x:v>12 anos de agência; fundador acessível</x:v>
      </x:c>
      <x:c r="O53" s="12" t="str">
        <x:v>Sem estrutura dedicada localizada nas fontes consultadas; validar antes do contato</x:v>
      </x:c>
      <x:c r="P53" s="12" t="str">
        <x:v>Contatar o decisor e validar faturamento + ausência de CX/CS</x:v>
      </x:c>
      <x:c r="Q53" s="12" t="str">
        <x:v>https://agenciaspine.com.br/sobre-nos/</x:v>
      </x:c>
      <x:c r="R53" s="13" t="n">
        <x:v>46237.625</x:v>
      </x:c>
      <x:c r="S53" s="12" t="str">
        <x:v>Não iniciado</x:v>
      </x:c>
    </x:row>
    <x:row r="54" ht="31" customHeight="1">
      <x:c r="A54" s="11" t="n">
        <x:v>53</x:v>
      </x:c>
      <x:c r="B54" s="11" t="str">
        <x:f>IF(AND(C54&gt;=6,K54="Direto público"),"A",IF(C54&gt;=5,"B","Revisar"))</x:f>
        <x:v>B</x:v>
      </x:c>
      <x:c r="C54" s="11" t="n">
        <x:f>2+IF(K54="Direto público",2,1)+2</x:f>
        <x:v>5</x:v>
      </x:c>
      <x:c r="D54" s="12" t="str">
        <x:v>Agencital</x:v>
      </x:c>
      <x:c r="E54" s="12" t="str">
        <x:v>Marketing e tecnologia</x:v>
      </x:c>
      <x:c r="F54" s="12" t="str">
        <x:v>São Paulo</x:v>
      </x:c>
      <x:c r="G54" s="12" t="str">
        <x:v>SP</x:v>
      </x:c>
      <x:c r="H54" s="12" t="str">
        <x:v>Ronaldo L. Santos</x:v>
      </x:c>
      <x:c r="I54" s="12" t="str">
        <x:v>Fundador</x:v>
      </x:c>
      <x:c r="J54" s="12" t="str">
        <x:v>(11) 5286-2201</x:v>
      </x:c>
      <x:c r="K54" s="12" t="str">
        <x:v>Institucional</x:v>
      </x:c>
      <x:c r="L54" s="12" t="str">
        <x:v>Média</x:v>
      </x:c>
      <x:c r="M54" s="12" t="str">
        <x:v>R$ 150–200 mil (proxy)</x:v>
      </x:c>
      <x:c r="N54" s="12" t="str">
        <x:v>Serviços e produtos recorrentes de tecnologia e marketing; validar faixa superior</x:v>
      </x:c>
      <x:c r="O54" s="12" t="str">
        <x:v>Sem estrutura dedicada localizada nas fontes consultadas; validar antes do contato</x:v>
      </x:c>
      <x:c r="P54" s="12" t="str">
        <x:v>Confirmar acesso ao decisor; depois validar faturamento + CX/CS</x:v>
      </x:c>
      <x:c r="Q54" s="12" t="str">
        <x:v>https://www.agencital.com/</x:v>
      </x:c>
      <x:c r="R54" s="13" t="n">
        <x:v>46237.625</x:v>
      </x:c>
      <x:c r="S54" s="12" t="str">
        <x:v>Não iniciado</x:v>
      </x:c>
    </x:row>
    <x:row r="55" ht="31" customHeight="1">
      <x:c r="A55" s="11" t="n">
        <x:v>54</x:v>
      </x:c>
      <x:c r="B55" s="11" t="str">
        <x:f>IF(AND(C55&gt;=6,K55="Direto público"),"A",IF(C55&gt;=5,"B","Revisar"))</x:f>
        <x:v>B</x:v>
      </x:c>
      <x:c r="C55" s="11" t="n">
        <x:f>2+IF(K55="Direto público",2,1)+2</x:f>
        <x:v>5</x:v>
      </x:c>
      <x:c r="D55" s="12" t="str">
        <x:v>SnowTech</x:v>
      </x:c>
      <x:c r="E55" s="12" t="str">
        <x:v>Marketing e automação</x:v>
      </x:c>
      <x:c r="F55" s="12" t="str">
        <x:v>São Paulo</x:v>
      </x:c>
      <x:c r="G55" s="12" t="str">
        <x:v>SP</x:v>
      </x:c>
      <x:c r="H55" s="12" t="str">
        <x:v>Lucas Neves</x:v>
      </x:c>
      <x:c r="I55" s="12" t="str">
        <x:v>Fundador</x:v>
      </x:c>
      <x:c r="J55" s="12" t="str">
        <x:v>Site / formulário</x:v>
      </x:c>
      <x:c r="K55" s="12" t="str">
        <x:v>Institucional</x:v>
      </x:c>
      <x:c r="L55" s="12" t="str">
        <x:v>Média</x:v>
      </x:c>
      <x:c r="M55" s="12" t="str">
        <x:v>R$ 150–200 mil (proxy)</x:v>
      </x:c>
      <x:c r="N55" s="12" t="str">
        <x:v>Marketing + sistemas e automações para empresas; validar faixa superior</x:v>
      </x:c>
      <x:c r="O55" s="12" t="str">
        <x:v>Sem estrutura dedicada localizada nas fontes consultadas; validar antes do contato</x:v>
      </x:c>
      <x:c r="P55" s="12" t="str">
        <x:v>Confirmar acesso ao decisor; depois validar faturamento + CX/CS</x:v>
      </x:c>
      <x:c r="Q55" s="12" t="str">
        <x:v>https://agenciasnowtech.com.br/</x:v>
      </x:c>
      <x:c r="R55" s="13" t="n">
        <x:v>46237.625</x:v>
      </x:c>
      <x:c r="S55" s="12" t="str">
        <x:v>Não iniciado</x:v>
      </x:c>
    </x:row>
    <x:row r="56" ht="31" customHeight="1">
      <x:c r="A56" s="11" t="n">
        <x:v>55</x:v>
      </x:c>
      <x:c r="B56" s="11" t="str">
        <x:f>IF(AND(C56&gt;=6,K56="Direto público"),"A",IF(C56&gt;=5,"B","Revisar"))</x:f>
        <x:v>B</x:v>
      </x:c>
      <x:c r="C56" s="11" t="n">
        <x:f>2+IF(K56="Direto público",2,1)+2</x:f>
        <x:v>5</x:v>
      </x:c>
      <x:c r="D56" s="12" t="str">
        <x:v>Aceleriq</x:v>
      </x:c>
      <x:c r="E56" s="12" t="str">
        <x:v>Marketing e RevOps</x:v>
      </x:c>
      <x:c r="F56" s="12" t="str">
        <x:v>Curitiba</x:v>
      </x:c>
      <x:c r="G56" s="12" t="str">
        <x:v>PR</x:v>
      </x:c>
      <x:c r="H56" s="12" t="str">
        <x:v>Almir Teles</x:v>
      </x:c>
      <x:c r="I56" s="12" t="str">
        <x:v>Fundador</x:v>
      </x:c>
      <x:c r="J56" s="12" t="str">
        <x:v>Site / diagnóstico</x:v>
      </x:c>
      <x:c r="K56" s="12" t="str">
        <x:v>Institucional</x:v>
      </x:c>
      <x:c r="L56" s="12" t="str">
        <x:v>Média</x:v>
      </x:c>
      <x:c r="M56" s="12" t="str">
        <x:v>R$ 150–200 mil (proxy)</x:v>
      </x:c>
      <x:c r="N56" s="12" t="str">
        <x:v>CRM, tráfego e automação integrados em operação recorrente</x:v>
      </x:c>
      <x:c r="O56" s="12" t="str">
        <x:v>Sem estrutura dedicada localizada nas fontes consultadas; validar antes do contato</x:v>
      </x:c>
      <x:c r="P56" s="12" t="str">
        <x:v>Confirmar acesso ao decisor; depois validar faturamento + CX/CS</x:v>
      </x:c>
      <x:c r="Q56" s="12" t="str">
        <x:v>https://aceleriq.com.br/</x:v>
      </x:c>
      <x:c r="R56" s="13" t="n">
        <x:v>46237.625</x:v>
      </x:c>
      <x:c r="S56" s="12" t="str">
        <x:v>Não iniciado</x:v>
      </x:c>
    </x:row>
    <x:row r="57" ht="31" customHeight="1">
      <x:c r="A57" s="11" t="n">
        <x:v>56</x:v>
      </x:c>
      <x:c r="B57" s="11" t="str">
        <x:f>IF(AND(C57&gt;=6,K57="Direto público"),"A",IF(C57&gt;=5,"B","Revisar"))</x:f>
        <x:v>A</x:v>
      </x:c>
      <x:c r="C57" s="11" t="n">
        <x:f>2+IF(K57="Direto público",2,1)+2</x:f>
        <x:v>6</x:v>
      </x:c>
      <x:c r="D57" s="12" t="str">
        <x:v>Area One</x:v>
      </x:c>
      <x:c r="E57" s="12" t="str">
        <x:v>Marketing digital</x:v>
      </x:c>
      <x:c r="F57" s="12" t="str">
        <x:v>Porto Alegre</x:v>
      </x:c>
      <x:c r="G57" s="12" t="str">
        <x:v>RS</x:v>
      </x:c>
      <x:c r="H57" s="12" t="str">
        <x:v>Rafael (fundador)</x:v>
      </x:c>
      <x:c r="I57" s="12" t="str">
        <x:v>Fundador</x:v>
      </x:c>
      <x:c r="J57" s="12" t="str">
        <x:v>rafael@areaone.com.br</x:v>
      </x:c>
      <x:c r="K57" s="12" t="str">
        <x:v>Direto público</x:v>
      </x:c>
      <x:c r="L57" s="12" t="str">
        <x:v>Média</x:v>
      </x:c>
      <x:c r="M57" s="12" t="str">
        <x:v>R$ 150–200 mil (proxy)</x:v>
      </x:c>
      <x:c r="N57" s="12" t="str">
        <x:v>15 anos de mercado digital; operação integrada</x:v>
      </x:c>
      <x:c r="O57" s="12" t="str">
        <x:v>Sem estrutura dedicada localizada nas fontes consultadas; validar antes do contato</x:v>
      </x:c>
      <x:c r="P57" s="12" t="str">
        <x:v>Contatar o decisor e validar faturamento + ausência de CX/CS</x:v>
      </x:c>
      <x:c r="Q57" s="12" t="str">
        <x:v>https://www.areaone.com.br/</x:v>
      </x:c>
      <x:c r="R57" s="13" t="n">
        <x:v>46237.625</x:v>
      </x:c>
      <x:c r="S57" s="12" t="str">
        <x:v>Não iniciado</x:v>
      </x:c>
    </x:row>
    <x:row r="58" ht="31" customHeight="1">
      <x:c r="A58" s="11" t="n">
        <x:v>57</x:v>
      </x:c>
      <x:c r="B58" s="11" t="str">
        <x:f>IF(AND(C58&gt;=6,K58="Direto público"),"A",IF(C58&gt;=5,"B","Revisar"))</x:f>
        <x:v>B</x:v>
      </x:c>
      <x:c r="C58" s="11" t="n">
        <x:f>2+IF(K58="Direto público",2,1)+1</x:f>
        <x:v>5</x:v>
      </x:c>
      <x:c r="D58" s="12" t="str">
        <x:v>Agência Café Online</x:v>
      </x:c>
      <x:c r="E58" s="12" t="str">
        <x:v>Marketing e IA</x:v>
      </x:c>
      <x:c r="F58" s="12" t="str">
        <x:v>Goiânia</x:v>
      </x:c>
      <x:c r="G58" s="12" t="str">
        <x:v>GO</x:v>
      </x:c>
      <x:c r="H58" s="12" t="str">
        <x:v>Felipe Zanoni</x:v>
      </x:c>
      <x:c r="I58" s="12" t="str">
        <x:v>Fundador</x:v>
      </x:c>
      <x:c r="J58" s="12" t="str">
        <x:v>Site / WhatsApp</x:v>
      </x:c>
      <x:c r="K58" s="12" t="str">
        <x:v>Direto público</x:v>
      </x:c>
      <x:c r="L58" s="12" t="str">
        <x:v>Média</x:v>
      </x:c>
      <x:c r="M58" s="12" t="str">
        <x:v>R$ 100–150 mil (proxy)</x:v>
      </x:c>
      <x:c r="N58" s="12" t="str">
        <x:v>IA para WhatsApp e marketing recorrente para PMEs</x:v>
      </x:c>
      <x:c r="O58" s="12" t="str">
        <x:v>Sem estrutura dedicada localizada nas fontes consultadas; validar antes do contato</x:v>
      </x:c>
      <x:c r="P58" s="12" t="str">
        <x:v>Contatar o decisor e validar faturamento + ausência de CX/CS</x:v>
      </x:c>
      <x:c r="Q58" s="12" t="str">
        <x:v>https://agenciacafeonline.com.br/blog/felipe-zanoni-agencia-cafe-online-ia-whatsapp-2026/</x:v>
      </x:c>
      <x:c r="R58" s="13" t="n">
        <x:v>46237.625</x:v>
      </x:c>
      <x:c r="S58" s="12" t="str">
        <x:v>Não iniciado</x:v>
      </x:c>
    </x:row>
    <x:row r="59" ht="31" customHeight="1">
      <x:c r="A59" s="11" t="n">
        <x:v>58</x:v>
      </x:c>
      <x:c r="B59" s="11" t="str">
        <x:f>IF(AND(C59&gt;=6,K59="Direto público"),"A",IF(C59&gt;=5,"B","Revisar"))</x:f>
        <x:v>B</x:v>
      </x:c>
      <x:c r="C59" s="11" t="n">
        <x:f>2+IF(K59="Direto público",2,1)+1</x:f>
        <x:v>5</x:v>
      </x:c>
      <x:c r="D59" s="12" t="str">
        <x:v>Agência V6</x:v>
      </x:c>
      <x:c r="E59" s="12" t="str">
        <x:v>Marketing de performance</x:v>
      </x:c>
      <x:c r="F59" s="12" t="str">
        <x:v>Belo Horizonte</x:v>
      </x:c>
      <x:c r="G59" s="12" t="str">
        <x:v>MG</x:v>
      </x:c>
      <x:c r="H59" s="12" t="str">
        <x:v>Douglas (fundador)</x:v>
      </x:c>
      <x:c r="I59" s="12" t="str">
        <x:v>Fundador</x:v>
      </x:c>
      <x:c r="J59" s="12" t="str">
        <x:v>(31) 99767-5626</x:v>
      </x:c>
      <x:c r="K59" s="12" t="str">
        <x:v>Direto público</x:v>
      </x:c>
      <x:c r="L59" s="12" t="str">
        <x:v>Média</x:v>
      </x:c>
      <x:c r="M59" s="12" t="str">
        <x:v>R$ 100–150 mil (proxy)</x:v>
      </x:c>
      <x:c r="N59" s="12" t="str">
        <x:v>Sede própria; centenas de empresas atendidas</x:v>
      </x:c>
      <x:c r="O59" s="12" t="str">
        <x:v>Sem estrutura dedicada localizada nas fontes consultadas; validar antes do contato</x:v>
      </x:c>
      <x:c r="P59" s="12" t="str">
        <x:v>Contatar o decisor e validar faturamento + ausência de CX/CS</x:v>
      </x:c>
      <x:c r="Q59" s="12" t="str">
        <x:v>https://agenciav6.com/sobre-nos/</x:v>
      </x:c>
      <x:c r="R59" s="13" t="n">
        <x:v>46237.625</x:v>
      </x:c>
      <x:c r="S59" s="12" t="str">
        <x:v>Não iniciado</x:v>
      </x:c>
    </x:row>
    <x:row r="60" ht="31" customHeight="1">
      <x:c r="A60" s="11" t="n">
        <x:v>59</x:v>
      </x:c>
      <x:c r="B60" s="11" t="str">
        <x:f>IF(AND(C60&gt;=6,K60="Direto público"),"A",IF(C60&gt;=5,"B","Revisar"))</x:f>
        <x:v>B</x:v>
      </x:c>
      <x:c r="C60" s="11" t="n">
        <x:f>2+IF(K60="Direto público",2,1)+2</x:f>
        <x:v>5</x:v>
      </x:c>
      <x:c r="D60" s="12" t="str">
        <x:v>Earmidia</x:v>
      </x:c>
      <x:c r="E60" s="12" t="str">
        <x:v>Marketing de performance</x:v>
      </x:c>
      <x:c r="F60" s="12" t="str">
        <x:v>Florianópolis</x:v>
      </x:c>
      <x:c r="G60" s="12" t="str">
        <x:v>SC</x:v>
      </x:c>
      <x:c r="H60" s="12" t="str">
        <x:v>Bruno Guerreiro</x:v>
      </x:c>
      <x:c r="I60" s="12" t="str">
        <x:v>Fundador e estrategista</x:v>
      </x:c>
      <x:c r="J60" s="12" t="str">
        <x:v>Site / diagnóstico</x:v>
      </x:c>
      <x:c r="K60" s="12" t="str">
        <x:v>Institucional</x:v>
      </x:c>
      <x:c r="L60" s="12" t="str">
        <x:v>Média</x:v>
      </x:c>
      <x:c r="M60" s="12" t="str">
        <x:v>R$ 150–200 mil (proxy)</x:v>
      </x:c>
      <x:c r="N60" s="12" t="str">
        <x:v>150 empresas atendidas; operação enxuta e especializada; validar faixa superior</x:v>
      </x:c>
      <x:c r="O60" s="12" t="str">
        <x:v>Sem estrutura dedicada localizada nas fontes consultadas; validar antes do contato</x:v>
      </x:c>
      <x:c r="P60" s="12" t="str">
        <x:v>Confirmar acesso ao decisor; depois validar faturamento + CX/CS</x:v>
      </x:c>
      <x:c r="Q60" s="12" t="str">
        <x:v>https://www.earmidia.com.br/</x:v>
      </x:c>
      <x:c r="R60" s="13" t="n">
        <x:v>46237.625</x:v>
      </x:c>
      <x:c r="S60" s="12" t="str">
        <x:v>Não iniciado</x:v>
      </x:c>
    </x:row>
    <x:row r="61" ht="31" customHeight="1">
      <x:c r="A61" s="11" t="n">
        <x:v>60</x:v>
      </x:c>
      <x:c r="B61" s="11" t="str">
        <x:f>IF(AND(C61&gt;=6,K61="Direto público"),"A",IF(C61&gt;=5,"B","Revisar"))</x:f>
        <x:v>B</x:v>
      </x:c>
      <x:c r="C61" s="11" t="n">
        <x:f>2+IF(K61="Direto público",2,1)+1</x:f>
        <x:v>5</x:v>
      </x:c>
      <x:c r="D61" s="12" t="str">
        <x:v>Agência VIII</x:v>
      </x:c>
      <x:c r="E61" s="12" t="str">
        <x:v>Marketing de performance</x:v>
      </x:c>
      <x:c r="F61" s="12" t="str">
        <x:v>Cabo Frio</x:v>
      </x:c>
      <x:c r="G61" s="12" t="str">
        <x:v>RJ</x:v>
      </x:c>
      <x:c r="H61" s="12" t="str">
        <x:v>Matheus (fundador)</x:v>
      </x:c>
      <x:c r="I61" s="12" t="str">
        <x:v>Fundador</x:v>
      </x:c>
      <x:c r="J61" s="12" t="str">
        <x:v>Site / WhatsApp</x:v>
      </x:c>
      <x:c r="K61" s="12" t="str">
        <x:v>Direto público</x:v>
      </x:c>
      <x:c r="L61" s="12" t="str">
        <x:v>Média</x:v>
      </x:c>
      <x:c r="M61" s="12" t="str">
        <x:v>R$ 100–150 mil (proxy)</x:v>
      </x:c>
      <x:c r="N61" s="12" t="str">
        <x:v>5+ anos; carteira seletiva e serviços recorrentes</x:v>
      </x:c>
      <x:c r="O61" s="12" t="str">
        <x:v>Sem estrutura dedicada localizada nas fontes consultadas; validar antes do contato</x:v>
      </x:c>
      <x:c r="P61" s="12" t="str">
        <x:v>Contatar o decisor e validar faturamento + ausência de CX/CS</x:v>
      </x:c>
      <x:c r="Q61" s="12" t="str">
        <x:v>https://agenciaviii.com.br/</x:v>
      </x:c>
      <x:c r="R61" s="13" t="n">
        <x:v>46237.625</x:v>
      </x:c>
      <x:c r="S61" s="12" t="str">
        <x:v>Não iniciado</x:v>
      </x:c>
    </x:row>
    <x:row r="62" ht="31" customHeight="1">
      <x:c r="A62" s="11" t="n">
        <x:v>61</x:v>
      </x:c>
      <x:c r="B62" s="11" t="str">
        <x:f>IF(AND(C62&gt;=6,K62="Direto público"),"A",IF(C62&gt;=5,"B","Revisar"))</x:f>
        <x:v>B</x:v>
      </x:c>
      <x:c r="C62" s="11" t="n">
        <x:f>2+IF(K62="Direto público",2,1)+2</x:f>
        <x:v>5</x:v>
      </x:c>
      <x:c r="D62" s="12" t="str">
        <x:v>WebRio 360</x:v>
      </x:c>
      <x:c r="E62" s="12" t="str">
        <x:v>Marketing e tecnologia</x:v>
      </x:c>
      <x:c r="F62" s="12" t="str">
        <x:v>Rio de Janeiro</x:v>
      </x:c>
      <x:c r="G62" s="12" t="str">
        <x:v>RJ</x:v>
      </x:c>
      <x:c r="H62" s="12" t="str">
        <x:v>Luan Müller</x:v>
      </x:c>
      <x:c r="I62" s="12" t="str">
        <x:v>Fundador e CEO</x:v>
      </x:c>
      <x:c r="J62" s="12" t="str">
        <x:v>Site / contato</x:v>
      </x:c>
      <x:c r="K62" s="12" t="str">
        <x:v>Institucional</x:v>
      </x:c>
      <x:c r="L62" s="12" t="str">
        <x:v>Média</x:v>
      </x:c>
      <x:c r="M62" s="12" t="str">
        <x:v>R$ 150–200 mil (proxy)</x:v>
      </x:c>
      <x:c r="N62" s="12" t="str">
        <x:v>Agência desde 2011; operação Brasil/EUA</x:v>
      </x:c>
      <x:c r="O62" s="12" t="str">
        <x:v>Sem estrutura dedicada localizada nas fontes consultadas; validar antes do contato</x:v>
      </x:c>
      <x:c r="P62" s="12" t="str">
        <x:v>Confirmar acesso ao decisor; depois validar faturamento + CX/CS</x:v>
      </x:c>
      <x:c r="Q62" s="12" t="str">
        <x:v>https://webriodesign.com/</x:v>
      </x:c>
      <x:c r="R62" s="13" t="n">
        <x:v>46237.625</x:v>
      </x:c>
      <x:c r="S62" s="12" t="str">
        <x:v>Não iniciado</x:v>
      </x:c>
    </x:row>
    <x:row r="63" ht="31" customHeight="1">
      <x:c r="A63" s="11" t="n">
        <x:v>62</x:v>
      </x:c>
      <x:c r="B63" s="11" t="str">
        <x:f>IF(AND(C63&gt;=6,K63="Direto público"),"A",IF(C63&gt;=5,"B","Revisar"))</x:f>
        <x:v>B</x:v>
      </x:c>
      <x:c r="C63" s="11" t="n">
        <x:f>2+IF(K63="Direto público",2,1)+2</x:f>
        <x:v>5</x:v>
      </x:c>
      <x:c r="D63" s="12" t="str">
        <x:v>Agência F3X</x:v>
      </x:c>
      <x:c r="E63" s="12" t="str">
        <x:v>Marketing, IA e tecnologia</x:v>
      </x:c>
      <x:c r="F63" s="12" t="str">
        <x:v>Rio de Janeiro</x:v>
      </x:c>
      <x:c r="G63" s="12" t="str">
        <x:v>RJ</x:v>
      </x:c>
      <x:c r="H63" s="12" t="str">
        <x:v>Diogo Archanjo</x:v>
      </x:c>
      <x:c r="I63" s="12" t="str">
        <x:v>Fundador e CEO</x:v>
      </x:c>
      <x:c r="J63" s="12" t="str">
        <x:v>Site / formulário</x:v>
      </x:c>
      <x:c r="K63" s="12" t="str">
        <x:v>Institucional</x:v>
      </x:c>
      <x:c r="L63" s="12" t="str">
        <x:v>Média</x:v>
      </x:c>
      <x:c r="M63" s="12" t="str">
        <x:v>R$ 150–200 mil (proxy)</x:v>
      </x:c>
      <x:c r="N63" s="12" t="str">
        <x:v>Oferta integrada e recorrente de marketing e tecnologia</x:v>
      </x:c>
      <x:c r="O63" s="12" t="str">
        <x:v>Sem estrutura dedicada localizada nas fontes consultadas; validar antes do contato</x:v>
      </x:c>
      <x:c r="P63" s="12" t="str">
        <x:v>Confirmar acesso ao decisor; depois validar faturamento + CX/CS</x:v>
      </x:c>
      <x:c r="Q63" s="12" t="str">
        <x:v>https://agenciaf3x.com.br/</x:v>
      </x:c>
      <x:c r="R63" s="13" t="n">
        <x:v>46237.625</x:v>
      </x:c>
      <x:c r="S63" s="12" t="str">
        <x:v>Não iniciado</x:v>
      </x:c>
    </x:row>
    <x:row r="64" ht="31" customHeight="1">
      <x:c r="A64" s="11" t="n">
        <x:v>63</x:v>
      </x:c>
      <x:c r="B64" s="11" t="str">
        <x:f>IF(AND(C64&gt;=6,K64="Direto público"),"A",IF(C64&gt;=5,"B","Revisar"))</x:f>
        <x:v>B</x:v>
      </x:c>
      <x:c r="C64" s="11" t="n">
        <x:f>2+IF(K64="Direto público",2,1)+1</x:f>
        <x:v>5</x:v>
      </x:c>
      <x:c r="D64" s="12" t="str">
        <x:v>O!Job</x:v>
      </x:c>
      <x:c r="E64" s="12" t="str">
        <x:v>Marketing digital</x:v>
      </x:c>
      <x:c r="F64" s="12" t="str">
        <x:v>Rio de Janeiro</x:v>
      </x:c>
      <x:c r="G64" s="12" t="str">
        <x:v>RJ</x:v>
      </x:c>
      <x:c r="H64" s="12" t="str">
        <x:v>Rafael Ferreira</x:v>
      </x:c>
      <x:c r="I64" s="12" t="str">
        <x:v>Fundador</x:v>
      </x:c>
      <x:c r="J64" s="12" t="str">
        <x:v>Site / WhatsApp</x:v>
      </x:c>
      <x:c r="K64" s="12" t="str">
        <x:v>Direto público</x:v>
      </x:c>
      <x:c r="L64" s="12" t="str">
        <x:v>Média</x:v>
      </x:c>
      <x:c r="M64" s="12" t="str">
        <x:v>R$ 100–150 mil (proxy)</x:v>
      </x:c>
      <x:c r="N64" s="12" t="str">
        <x:v>Agência focada em SEO, sites e mídias sociais</x:v>
      </x:c>
      <x:c r="O64" s="12" t="str">
        <x:v>Sem estrutura dedicada localizada nas fontes consultadas; validar antes do contato</x:v>
      </x:c>
      <x:c r="P64" s="12" t="str">
        <x:v>Contatar o decisor e validar faturamento + ausência de CX/CS</x:v>
      </x:c>
      <x:c r="Q64" s="12" t="str">
        <x:v>https://ojob.com.br/ojob-por-que-e-a-melhor-agencia-de-marketing-digital/</x:v>
      </x:c>
      <x:c r="R64" s="13" t="n">
        <x:v>46237.625</x:v>
      </x:c>
      <x:c r="S64" s="12" t="str">
        <x:v>Não iniciado</x:v>
      </x:c>
    </x:row>
    <x:row r="65" ht="31" customHeight="1">
      <x:c r="A65" s="11" t="n">
        <x:v>64</x:v>
      </x:c>
      <x:c r="B65" s="11" t="str">
        <x:f>IF(AND(C65&gt;=6,K65="Direto público"),"A",IF(C65&gt;=5,"B","Revisar"))</x:f>
        <x:v>B</x:v>
      </x:c>
      <x:c r="C65" s="11" t="n">
        <x:f>2+IF(K65="Direto público",2,1)+2</x:f>
        <x:v>5</x:v>
      </x:c>
      <x:c r="D65" s="12" t="str">
        <x:v>AsWeb</x:v>
      </x:c>
      <x:c r="E65" s="12" t="str">
        <x:v>Marketing e desenvolvimento web</x:v>
      </x:c>
      <x:c r="F65" s="12" t="str">
        <x:v>Goiânia</x:v>
      </x:c>
      <x:c r="G65" s="12" t="str">
        <x:v>GO</x:v>
      </x:c>
      <x:c r="H65" s="12" t="str">
        <x:v>Rhuan Dias</x:v>
      </x:c>
      <x:c r="I65" s="12" t="str">
        <x:v>Fundador</x:v>
      </x:c>
      <x:c r="J65" s="12" t="str">
        <x:v>(62) 3100-8126</x:v>
      </x:c>
      <x:c r="K65" s="12" t="str">
        <x:v>Institucional</x:v>
      </x:c>
      <x:c r="L65" s="12" t="str">
        <x:v>Média</x:v>
      </x:c>
      <x:c r="M65" s="12" t="str">
        <x:v>R$ 150–200 mil (proxy)</x:v>
      </x:c>
      <x:c r="N65" s="12" t="str">
        <x:v>Agência completa com CRM próprio e serviços recorrentes</x:v>
      </x:c>
      <x:c r="O65" s="12" t="str">
        <x:v>Sem estrutura dedicada localizada nas fontes consultadas; validar antes do contato</x:v>
      </x:c>
      <x:c r="P65" s="12" t="str">
        <x:v>Confirmar acesso ao decisor; depois validar faturamento + CX/CS</x:v>
      </x:c>
      <x:c r="Q65" s="12" t="str">
        <x:v>https://asweb.com.br/asweb</x:v>
      </x:c>
      <x:c r="R65" s="13" t="n">
        <x:v>46237.625</x:v>
      </x:c>
      <x:c r="S65" s="12" t="str">
        <x:v>Não iniciado</x:v>
      </x:c>
    </x:row>
    <x:row r="66" ht="31" customHeight="1">
      <x:c r="A66" s="11" t="n">
        <x:v>65</x:v>
      </x:c>
      <x:c r="B66" s="11" t="str">
        <x:f>IF(AND(C66&gt;=6,K66="Direto público"),"A",IF(C66&gt;=5,"B","Revisar"))</x:f>
        <x:v>B</x:v>
      </x:c>
      <x:c r="C66" s="11" t="n">
        <x:f>3+IF(K66="Direto público",2,1)+2</x:f>
        <x:v>6</x:v>
      </x:c>
      <x:c r="D66" s="12" t="str">
        <x:v>Agência TB Web</x:v>
      </x:c>
      <x:c r="E66" s="12" t="str">
        <x:v>Marketing digital</x:v>
      </x:c>
      <x:c r="F66" s="12" t="str">
        <x:v>Rio de Janeiro</x:v>
      </x:c>
      <x:c r="G66" s="12" t="str">
        <x:v>RJ</x:v>
      </x:c>
      <x:c r="H66" s="12" t="str">
        <x:v>Thiago Belota</x:v>
      </x:c>
      <x:c r="I66" s="12" t="str">
        <x:v>Sócio-fundador</x:v>
      </x:c>
      <x:c r="J66" s="12" t="str">
        <x:v>Site / formulário</x:v>
      </x:c>
      <x:c r="K66" s="12" t="str">
        <x:v>Institucional</x:v>
      </x:c>
      <x:c r="L66" s="12" t="str">
        <x:v>Alta</x:v>
      </x:c>
      <x:c r="M66" s="12" t="str">
        <x:v>R$ 150–200 mil (proxy)</x:v>
      </x:c>
      <x:c r="N66" s="12" t="str">
        <x:v>10 especialistas internos; 300 clientes; validar teto de receita</x:v>
      </x:c>
      <x:c r="O66" s="12" t="str">
        <x:v>Sem estrutura dedicada localizada nas fontes consultadas; validar antes do contato</x:v>
      </x:c>
      <x:c r="P66" s="12" t="str">
        <x:v>Confirmar acesso ao decisor; depois validar faturamento + CX/CS</x:v>
      </x:c>
      <x:c r="Q66" s="12" t="str">
        <x:v>https://tbweb.marketing/</x:v>
      </x:c>
      <x:c r="R66" s="13" t="n">
        <x:v>46237.625</x:v>
      </x:c>
      <x:c r="S66" s="12" t="str">
        <x:v>Não iniciado</x:v>
      </x:c>
    </x:row>
    <x:row r="67" ht="31" customHeight="1">
      <x:c r="A67" s="11" t="n">
        <x:v>66</x:v>
      </x:c>
      <x:c r="B67" s="11" t="str">
        <x:f>IF(AND(C67&gt;=6,K67="Direto público"),"A",IF(C67&gt;=5,"B","Revisar"))</x:f>
        <x:v>B</x:v>
      </x:c>
      <x:c r="C67" s="11" t="n">
        <x:f>3+IF(K67="Direto público",2,1)+2</x:f>
        <x:v>6</x:v>
      </x:c>
      <x:c r="D67" s="12" t="str">
        <x:v>Plathanus Software &amp; Design</x:v>
      </x:c>
      <x:c r="E67" s="12" t="str">
        <x:v>Software house</x:v>
      </x:c>
      <x:c r="F67" s="12" t="str">
        <x:v>Palhoça</x:v>
      </x:c>
      <x:c r="G67" s="12" t="str">
        <x:v>SC</x:v>
      </x:c>
      <x:c r="H67" s="12" t="str">
        <x:v>Pascoal Vernieri</x:v>
      </x:c>
      <x:c r="I67" s="12" t="str">
        <x:v>Cofundador e CEO</x:v>
      </x:c>
      <x:c r="J67" s="12" t="str">
        <x:v>(48) 3374-8922</x:v>
      </x:c>
      <x:c r="K67" s="12" t="str">
        <x:v>Institucional</x:v>
      </x:c>
      <x:c r="L67" s="12" t="str">
        <x:v>Alta</x:v>
      </x:c>
      <x:c r="M67" s="12" t="str">
        <x:v>R$ 150–200 mil (proxy)</x:v>
      </x:c>
      <x:c r="N67" s="12" t="str">
        <x:v>10–49 profissionais; serviços e manutenção contínua</x:v>
      </x:c>
      <x:c r="O67" s="12" t="str">
        <x:v>Sem estrutura dedicada localizada nas fontes consultadas; validar antes do contato</x:v>
      </x:c>
      <x:c r="P67" s="12" t="str">
        <x:v>Confirmar acesso ao decisor; depois validar faturamento + CX/CS</x:v>
      </x:c>
      <x:c r="Q67" s="12" t="str">
        <x:v>https://plathanus.com.br/pt</x:v>
      </x:c>
      <x:c r="R67" s="13" t="n">
        <x:v>46237.625</x:v>
      </x:c>
      <x:c r="S67" s="12" t="str">
        <x:v>Não iniciado</x:v>
      </x:c>
    </x:row>
    <x:row r="68" ht="31" customHeight="1">
      <x:c r="A68" s="11" t="n">
        <x:v>67</x:v>
      </x:c>
      <x:c r="B68" s="11" t="str">
        <x:f>IF(AND(C68&gt;=6,K68="Direto público"),"A",IF(C68&gt;=5,"B","Revisar"))</x:f>
        <x:v>B</x:v>
      </x:c>
      <x:c r="C68" s="11" t="n">
        <x:f>3+IF(K68="Direto público",2,1)+2</x:f>
        <x:v>6</x:v>
      </x:c>
      <x:c r="D68" s="12" t="str">
        <x:v>CodeCycle</x:v>
      </x:c>
      <x:c r="E68" s="12" t="str">
        <x:v>Software house</x:v>
      </x:c>
      <x:c r="F68" s="12" t="str">
        <x:v>São Paulo</x:v>
      </x:c>
      <x:c r="G68" s="12" t="str">
        <x:v>SP</x:v>
      </x:c>
      <x:c r="H68" s="12" t="str">
        <x:v>Bruno Leitão</x:v>
      </x:c>
      <x:c r="I68" s="12" t="str">
        <x:v>Cofundador</x:v>
      </x:c>
      <x:c r="J68" s="12" t="str">
        <x:v>Site / LinkedIn</x:v>
      </x:c>
      <x:c r="K68" s="12" t="str">
        <x:v>Institucional</x:v>
      </x:c>
      <x:c r="L68" s="12" t="str">
        <x:v>Alta</x:v>
      </x:c>
      <x:c r="M68" s="12" t="str">
        <x:v>R$ 150–200 mil (proxy)</x:v>
      </x:c>
      <x:c r="N68" s="12" t="str">
        <x:v>11–50 profissionais; software e consultoria de processos B2B</x:v>
      </x:c>
      <x:c r="O68" s="12" t="str">
        <x:v>Sem estrutura dedicada localizada nas fontes consultadas; validar antes do contato</x:v>
      </x:c>
      <x:c r="P68" s="12" t="str">
        <x:v>Confirmar acesso ao decisor; depois validar faturamento + CX/CS</x:v>
      </x:c>
      <x:c r="Q68" s="12" t="str">
        <x:v>https://br.linkedin.com/company/codecycle</x:v>
      </x:c>
      <x:c r="R68" s="13" t="n">
        <x:v>46237.625</x:v>
      </x:c>
      <x:c r="S68" s="12" t="str">
        <x:v>Não iniciado</x:v>
      </x:c>
    </x:row>
    <x:row r="69" ht="31" customHeight="1">
      <x:c r="A69" s="11" t="n">
        <x:v>68</x:v>
      </x:c>
      <x:c r="B69" s="11" t="str">
        <x:f>IF(AND(C69&gt;=6,K69="Direto público"),"A",IF(C69&gt;=5,"B","Revisar"))</x:f>
        <x:v>B</x:v>
      </x:c>
      <x:c r="C69" s="11" t="n">
        <x:f>2+IF(K69="Direto público",2,1)+2</x:f>
        <x:v>5</x:v>
      </x:c>
      <x:c r="D69" s="12" t="str">
        <x:v>ARK Tecnologia &amp; IA</x:v>
      </x:c>
      <x:c r="E69" s="12" t="str">
        <x:v>Software house</x:v>
      </x:c>
      <x:c r="F69" s="12" t="str">
        <x:v>Curitiba</x:v>
      </x:c>
      <x:c r="G69" s="12" t="str">
        <x:v>PR</x:v>
      </x:c>
      <x:c r="H69" s="12" t="str">
        <x:v>Renato (CEO)</x:v>
      </x:c>
      <x:c r="I69" s="12" t="str">
        <x:v>Cofundador e CEO</x:v>
      </x:c>
      <x:c r="J69" s="12" t="str">
        <x:v>Site / formulário</x:v>
      </x:c>
      <x:c r="K69" s="12" t="str">
        <x:v>Institucional</x:v>
      </x:c>
      <x:c r="L69" s="12" t="str">
        <x:v>Média</x:v>
      </x:c>
      <x:c r="M69" s="12" t="str">
        <x:v>R$ 150–200 mil (proxy)</x:v>
      </x:c>
      <x:c r="N69" s="12" t="str">
        <x:v>6 pessoas; 15 clientes ativos em manutenção</x:v>
      </x:c>
      <x:c r="O69" s="12" t="str">
        <x:v>Sem estrutura dedicada localizada nas fontes consultadas; validar antes do contato</x:v>
      </x:c>
      <x:c r="P69" s="12" t="str">
        <x:v>Confirmar acesso ao decisor; depois validar faturamento + CX/CS</x:v>
      </x:c>
      <x:c r="Q69" s="12" t="str">
        <x:v>https://arktecnologia.com/</x:v>
      </x:c>
      <x:c r="R69" s="13" t="n">
        <x:v>46237.625</x:v>
      </x:c>
      <x:c r="S69" s="12" t="str">
        <x:v>Não iniciado</x:v>
      </x:c>
    </x:row>
    <x:row r="70" ht="31" customHeight="1">
      <x:c r="A70" s="11" t="n">
        <x:v>69</x:v>
      </x:c>
      <x:c r="B70" s="11" t="str">
        <x:f>IF(AND(C70&gt;=6,K70="Direto público"),"A",IF(C70&gt;=5,"B","Revisar"))</x:f>
        <x:v>B</x:v>
      </x:c>
      <x:c r="C70" s="11" t="n">
        <x:f>2+IF(K70="Direto público",2,1)+2</x:f>
        <x:v>5</x:v>
      </x:c>
      <x:c r="D70" s="12" t="str">
        <x:v>3K Tecnologia</x:v>
      </x:c>
      <x:c r="E70" s="12" t="str">
        <x:v>Software house</x:v>
      </x:c>
      <x:c r="F70" s="12" t="str">
        <x:v>Dracena</x:v>
      </x:c>
      <x:c r="G70" s="12" t="str">
        <x:v>SP</x:v>
      </x:c>
      <x:c r="H70" s="12" t="str">
        <x:v>Glauco Berbel</x:v>
      </x:c>
      <x:c r="I70" s="12" t="str">
        <x:v>Fundador</x:v>
      </x:c>
      <x:c r="J70" s="12" t="str">
        <x:v>Site / formulário</x:v>
      </x:c>
      <x:c r="K70" s="12" t="str">
        <x:v>Institucional</x:v>
      </x:c>
      <x:c r="L70" s="12" t="str">
        <x:v>Média</x:v>
      </x:c>
      <x:c r="M70" s="12" t="str">
        <x:v>R$ 150–200 mil (proxy)</x:v>
      </x:c>
      <x:c r="N70" s="12" t="str">
        <x:v>13 anos e projetos sob medida/integrações; validar faixa superior</x:v>
      </x:c>
      <x:c r="O70" s="12" t="str">
        <x:v>Sem estrutura dedicada localizada nas fontes consultadas; validar antes do contato</x:v>
      </x:c>
      <x:c r="P70" s="12" t="str">
        <x:v>Confirmar acesso ao decisor; depois validar faturamento + CX/CS</x:v>
      </x:c>
      <x:c r="Q70" s="12" t="str">
        <x:v>https://www.3ktecnologia.com.br/</x:v>
      </x:c>
      <x:c r="R70" s="13" t="n">
        <x:v>46237.625</x:v>
      </x:c>
      <x:c r="S70" s="12" t="str">
        <x:v>Não iniciado</x:v>
      </x:c>
    </x:row>
    <x:row r="71" ht="31" customHeight="1">
      <x:c r="A71" s="11" t="n">
        <x:v>70</x:v>
      </x:c>
      <x:c r="B71" s="11" t="str">
        <x:f>IF(AND(C71&gt;=6,K71="Direto público"),"A",IF(C71&gt;=5,"B","Revisar"))</x:f>
        <x:v>B</x:v>
      </x:c>
      <x:c r="C71" s="11" t="n">
        <x:f>2+IF(K71="Direto público",2,1)+2</x:f>
        <x:v>5</x:v>
      </x:c>
      <x:c r="D71" s="12" t="str">
        <x:v>Mixxi</x:v>
      </x:c>
      <x:c r="E71" s="12" t="str">
        <x:v>Software house</x:v>
      </x:c>
      <x:c r="F71" s="12" t="str">
        <x:v>São Paulo</x:v>
      </x:c>
      <x:c r="G71" s="12" t="str">
        <x:v>SP</x:v>
      </x:c>
      <x:c r="H71" s="12" t="str">
        <x:v>Wendel Ferreira</x:v>
      </x:c>
      <x:c r="I71" s="12" t="str">
        <x:v>Fundador</x:v>
      </x:c>
      <x:c r="J71" s="12" t="str">
        <x:v>Site / formulário</x:v>
      </x:c>
      <x:c r="K71" s="12" t="str">
        <x:v>Institucional</x:v>
      </x:c>
      <x:c r="L71" s="12" t="str">
        <x:v>Média</x:v>
      </x:c>
      <x:c r="M71" s="12" t="str">
        <x:v>R$ 150–200 mil (proxy)</x:v>
      </x:c>
      <x:c r="N71" s="12" t="str">
        <x:v>15 anos e 50+ projetos; DNA de produto</x:v>
      </x:c>
      <x:c r="O71" s="12" t="str">
        <x:v>Sem estrutura dedicada localizada nas fontes consultadas; validar antes do contato</x:v>
      </x:c>
      <x:c r="P71" s="12" t="str">
        <x:v>Confirmar acesso ao decisor; depois validar faturamento + CX/CS</x:v>
      </x:c>
      <x:c r="Q71" s="12" t="str">
        <x:v>https://mixxi.com.br/</x:v>
      </x:c>
      <x:c r="R71" s="13" t="n">
        <x:v>46237.625</x:v>
      </x:c>
      <x:c r="S71" s="12" t="str">
        <x:v>Não iniciado</x:v>
      </x:c>
    </x:row>
    <x:row r="72" ht="31" customHeight="1">
      <x:c r="A72" s="11" t="n">
        <x:v>71</x:v>
      </x:c>
      <x:c r="B72" s="11" t="str">
        <x:f>IF(AND(C72&gt;=6,K72="Direto público"),"A",IF(C72&gt;=5,"B","Revisar"))</x:f>
        <x:v>B</x:v>
      </x:c>
      <x:c r="C72" s="11" t="n">
        <x:f>2+IF(K72="Direto público",2,1)+1</x:f>
        <x:v>5</x:v>
      </x:c>
      <x:c r="D72" s="12" t="str">
        <x:v>SyntaxLab</x:v>
      </x:c>
      <x:c r="E72" s="12" t="str">
        <x:v>Software house</x:v>
      </x:c>
      <x:c r="F72" s="12" t="str">
        <x:v>Florianópolis</x:v>
      </x:c>
      <x:c r="G72" s="12" t="str">
        <x:v>SC</x:v>
      </x:c>
      <x:c r="H72" s="12" t="str">
        <x:v>Thales Gomes</x:v>
      </x:c>
      <x:c r="I72" s="12" t="str">
        <x:v>Fundador</x:v>
      </x:c>
      <x:c r="J72" s="12" t="str">
        <x:v>Site / diagnóstico</x:v>
      </x:c>
      <x:c r="K72" s="12" t="str">
        <x:v>Direto público</x:v>
      </x:c>
      <x:c r="L72" s="12" t="str">
        <x:v>Média</x:v>
      </x:c>
      <x:c r="M72" s="12" t="str">
        <x:v>R$ 100–150 mil (proxy)</x:v>
      </x:c>
      <x:c r="N72" s="12" t="str">
        <x:v>Boutique de 3 pessoas; 300 projetos entregues; ticket seletivo</x:v>
      </x:c>
      <x:c r="O72" s="12" t="str">
        <x:v>Sem estrutura dedicada localizada nas fontes consultadas; validar antes do contato</x:v>
      </x:c>
      <x:c r="P72" s="12" t="str">
        <x:v>Contatar o decisor e validar faturamento + ausência de CX/CS</x:v>
      </x:c>
      <x:c r="Q72" s="12" t="str">
        <x:v>https://syntaxlab.com.br/sobre</x:v>
      </x:c>
      <x:c r="R72" s="13" t="n">
        <x:v>46237.625</x:v>
      </x:c>
      <x:c r="S72" s="12" t="str">
        <x:v>Não iniciado</x:v>
      </x:c>
    </x:row>
    <x:row r="73" ht="31" customHeight="1">
      <x:c r="A73" s="11" t="n">
        <x:v>72</x:v>
      </x:c>
      <x:c r="B73" s="11" t="str">
        <x:f>IF(AND(C73&gt;=6,K73="Direto público"),"A",IF(C73&gt;=5,"B","Revisar"))</x:f>
        <x:v>B</x:v>
      </x:c>
      <x:c r="C73" s="11" t="n">
        <x:f>2+IF(K73="Direto público",2,1)+1</x:f>
        <x:v>5</x:v>
      </x:c>
      <x:c r="D73" s="12" t="str">
        <x:v>NUMA Solutions</x:v>
      </x:c>
      <x:c r="E73" s="12" t="str">
        <x:v>Software house</x:v>
      </x:c>
      <x:c r="F73" s="12" t="str">
        <x:v>Porto Alegre</x:v>
      </x:c>
      <x:c r="G73" s="12" t="str">
        <x:v>RS</x:v>
      </x:c>
      <x:c r="H73" s="12" t="str">
        <x:v>Cesar Fauth</x:v>
      </x:c>
      <x:c r="I73" s="12" t="str">
        <x:v>Fundador e CEO</x:v>
      </x:c>
      <x:c r="J73" s="12" t="str">
        <x:v>(51) 98080-0751</x:v>
      </x:c>
      <x:c r="K73" s="12" t="str">
        <x:v>Direto público</x:v>
      </x:c>
      <x:c r="L73" s="12" t="str">
        <x:v>Média</x:v>
      </x:c>
      <x:c r="M73" s="12" t="str">
        <x:v>R$ 100–150 mil (proxy)</x:v>
      </x:c>
      <x:c r="N73" s="12" t="str">
        <x:v>10+ anos de experiência; projetos sob medida e IA</x:v>
      </x:c>
      <x:c r="O73" s="12" t="str">
        <x:v>Sem estrutura dedicada localizada nas fontes consultadas; validar antes do contato</x:v>
      </x:c>
      <x:c r="P73" s="12" t="str">
        <x:v>Contatar o decisor e validar faturamento + ausência de CX/CS</x:v>
      </x:c>
      <x:c r="Q73" s="12" t="str">
        <x:v>https://numasolutions.com.br/</x:v>
      </x:c>
      <x:c r="R73" s="13" t="n">
        <x:v>46237.625</x:v>
      </x:c>
      <x:c r="S73" s="12" t="str">
        <x:v>Não iniciado</x:v>
      </x:c>
    </x:row>
    <x:row r="74" ht="31" customHeight="1">
      <x:c r="A74" s="11" t="n">
        <x:v>73</x:v>
      </x:c>
      <x:c r="B74" s="11" t="str">
        <x:f>IF(AND(C74&gt;=6,K74="Direto público"),"A",IF(C74&gt;=5,"B","Revisar"))</x:f>
        <x:v>B</x:v>
      </x:c>
      <x:c r="C74" s="11" t="n">
        <x:f>3+IF(K74="Direto público",2,1)+2</x:f>
        <x:v>6</x:v>
      </x:c>
      <x:c r="D74" s="12" t="str">
        <x:v>VP6</x:v>
      </x:c>
      <x:c r="E74" s="12" t="str">
        <x:v>Software house</x:v>
      </x:c>
      <x:c r="F74" s="12" t="str">
        <x:v>Belo Horizonte</x:v>
      </x:c>
      <x:c r="G74" s="12" t="str">
        <x:v>MG</x:v>
      </x:c>
      <x:c r="H74" s="12" t="str">
        <x:v>Rodrigo Gamaliel</x:v>
      </x:c>
      <x:c r="I74" s="12" t="str">
        <x:v>Diretor e fundador</x:v>
      </x:c>
      <x:c r="J74" s="12" t="str">
        <x:v>Site / LinkedIn</x:v>
      </x:c>
      <x:c r="K74" s="12" t="str">
        <x:v>Institucional</x:v>
      </x:c>
      <x:c r="L74" s="12" t="str">
        <x:v>Alta</x:v>
      </x:c>
      <x:c r="M74" s="12" t="str">
        <x:v>R$ 150–200 mil (proxy)</x:v>
      </x:c>
      <x:c r="N74" s="12" t="str">
        <x:v>11–50 profissionais; 21 perfis públicos</x:v>
      </x:c>
      <x:c r="O74" s="12" t="str">
        <x:v>Sem estrutura dedicada localizada nas fontes consultadas; validar antes do contato</x:v>
      </x:c>
      <x:c r="P74" s="12" t="str">
        <x:v>Confirmar acesso ao decisor; depois validar faturamento + CX/CS</x:v>
      </x:c>
      <x:c r="Q74" s="12" t="str">
        <x:v>https://br.linkedin.com/company/vp6</x:v>
      </x:c>
      <x:c r="R74" s="13" t="n">
        <x:v>46237.625</x:v>
      </x:c>
      <x:c r="S74" s="12" t="str">
        <x:v>Não iniciado</x:v>
      </x:c>
    </x:row>
    <x:row r="75" ht="31" customHeight="1">
      <x:c r="A75" s="11" t="n">
        <x:v>74</x:v>
      </x:c>
      <x:c r="B75" s="11" t="str">
        <x:f>IF(AND(C75&gt;=6,K75="Direto público"),"A",IF(C75&gt;=5,"B","Revisar"))</x:f>
        <x:v>B</x:v>
      </x:c>
      <x:c r="C75" s="11" t="n">
        <x:f>2+IF(K75="Direto público",2,1)+2</x:f>
        <x:v>5</x:v>
      </x:c>
      <x:c r="D75" s="12" t="str">
        <x:v>CactoWeb</x:v>
      </x:c>
      <x:c r="E75" s="12" t="str">
        <x:v>Software house</x:v>
      </x:c>
      <x:c r="F75" s="12" t="str">
        <x:v>Recife</x:v>
      </x:c>
      <x:c r="G75" s="12" t="str">
        <x:v>PE</x:v>
      </x:c>
      <x:c r="H75" s="12" t="str">
        <x:v>Carlos Victor Gomes</x:v>
      </x:c>
      <x:c r="I75" s="12" t="str">
        <x:v>Fundador</x:v>
      </x:c>
      <x:c r="J75" s="12" t="str">
        <x:v>Site / agenda</x:v>
      </x:c>
      <x:c r="K75" s="12" t="str">
        <x:v>Institucional</x:v>
      </x:c>
      <x:c r="L75" s="12" t="str">
        <x:v>Média</x:v>
      </x:c>
      <x:c r="M75" s="12" t="str">
        <x:v>R$ 150–200 mil (proxy)</x:v>
      </x:c>
      <x:c r="N75" s="12" t="str">
        <x:v>Projetos sob medida e evolução contínua de sistemas; validar faixa superior</x:v>
      </x:c>
      <x:c r="O75" s="12" t="str">
        <x:v>Sem estrutura dedicada localizada nas fontes consultadas; validar antes do contato</x:v>
      </x:c>
      <x:c r="P75" s="12" t="str">
        <x:v>Confirmar acesso ao decisor; depois validar faturamento + CX/CS</x:v>
      </x:c>
      <x:c r="Q75" s="12" t="str">
        <x:v>https://cactoweb.com.br/</x:v>
      </x:c>
      <x:c r="R75" s="13" t="n">
        <x:v>46237.625</x:v>
      </x:c>
      <x:c r="S75" s="12" t="str">
        <x:v>Não iniciado</x:v>
      </x:c>
    </x:row>
    <x:row r="76" ht="31" customHeight="1">
      <x:c r="A76" s="11" t="n">
        <x:v>75</x:v>
      </x:c>
      <x:c r="B76" s="11" t="str">
        <x:f>IF(AND(C76&gt;=6,K76="Direto público"),"A",IF(C76&gt;=5,"B","Revisar"))</x:f>
        <x:v>B</x:v>
      </x:c>
      <x:c r="C76" s="11" t="n">
        <x:f>2+IF(K76="Direto público",2,1)+1</x:f>
        <x:v>5</x:v>
      </x:c>
      <x:c r="D76" s="12" t="str">
        <x:v>Cheetah Solutions Network</x:v>
      </x:c>
      <x:c r="E76" s="12" t="str">
        <x:v>Software house</x:v>
      </x:c>
      <x:c r="F76" s="12" t="str">
        <x:v>Recife</x:v>
      </x:c>
      <x:c r="G76" s="12" t="str">
        <x:v>PE</x:v>
      </x:c>
      <x:c r="H76" s="12" t="str">
        <x:v>Talisson Souza</x:v>
      </x:c>
      <x:c r="I76" s="12" t="str">
        <x:v>Fundador e CEO</x:v>
      </x:c>
      <x:c r="J76" s="12" t="str">
        <x:v>(81) 99396-4261</x:v>
      </x:c>
      <x:c r="K76" s="12" t="str">
        <x:v>Direto público</x:v>
      </x:c>
      <x:c r="L76" s="12" t="str">
        <x:v>Média</x:v>
      </x:c>
      <x:c r="M76" s="12" t="str">
        <x:v>R$ 100–150 mil (proxy)</x:v>
      </x:c>
      <x:c r="N76" s="12" t="str">
        <x:v>Engenharia de software B2B e integrações</x:v>
      </x:c>
      <x:c r="O76" s="12" t="str">
        <x:v>Sem estrutura dedicada localizada nas fontes consultadas; validar antes do contato</x:v>
      </x:c>
      <x:c r="P76" s="12" t="str">
        <x:v>Contatar o decisor e validar faturamento + ausência de CX/CS</x:v>
      </x:c>
      <x:c r="Q76" s="12" t="str">
        <x:v>https://www.cheetahsolutions.com.br/</x:v>
      </x:c>
      <x:c r="R76" s="13" t="n">
        <x:v>46237.625</x:v>
      </x:c>
      <x:c r="S76" s="12" t="str">
        <x:v>Não iniciado</x:v>
      </x:c>
    </x:row>
    <x:row r="77" ht="31" customHeight="1">
      <x:c r="A77" s="11" t="n">
        <x:v>76</x:v>
      </x:c>
      <x:c r="B77" s="11" t="str">
        <x:f>IF(AND(C77&gt;=6,K77="Direto público"),"A",IF(C77&gt;=5,"B","Revisar"))</x:f>
        <x:v>B</x:v>
      </x:c>
      <x:c r="C77" s="11" t="n">
        <x:f>2+IF(K77="Direto público",2,1)+1</x:f>
        <x:v>5</x:v>
      </x:c>
      <x:c r="D77" s="12" t="str">
        <x:v>Raiu Soft</x:v>
      </x:c>
      <x:c r="E77" s="12" t="str">
        <x:v>Software house</x:v>
      </x:c>
      <x:c r="F77" s="12" t="str">
        <x:v>Rio de Janeiro</x:v>
      </x:c>
      <x:c r="G77" s="12" t="str">
        <x:v>RJ</x:v>
      </x:c>
      <x:c r="H77" s="12" t="str">
        <x:v>João (cofundador)</x:v>
      </x:c>
      <x:c r="I77" s="12" t="str">
        <x:v>Cofundador e engenheiro</x:v>
      </x:c>
      <x:c r="J77" s="12" t="str">
        <x:v>(21) 97881-8285</x:v>
      </x:c>
      <x:c r="K77" s="12" t="str">
        <x:v>Direto público</x:v>
      </x:c>
      <x:c r="L77" s="12" t="str">
        <x:v>Média</x:v>
      </x:c>
      <x:c r="M77" s="12" t="str">
        <x:v>R$ 100–150 mil (proxy)</x:v>
      </x:c>
      <x:c r="N77" s="12" t="str">
        <x:v>Dois engenheiros; 50+ projetos; tickets até R$80 mil+</x:v>
      </x:c>
      <x:c r="O77" s="12" t="str">
        <x:v>Sem estrutura dedicada localizada nas fontes consultadas; validar antes do contato</x:v>
      </x:c>
      <x:c r="P77" s="12" t="str">
        <x:v>Contatar o decisor e validar faturamento + ausência de CX/CS</x:v>
      </x:c>
      <x:c r="Q77" s="12" t="str">
        <x:v>https://raiusoft.com/</x:v>
      </x:c>
      <x:c r="R77" s="13" t="n">
        <x:v>46237.625</x:v>
      </x:c>
      <x:c r="S77" s="12" t="str">
        <x:v>Não iniciado</x:v>
      </x:c>
    </x:row>
    <x:row r="78" ht="31" customHeight="1">
      <x:c r="A78" s="11" t="n">
        <x:v>77</x:v>
      </x:c>
      <x:c r="B78" s="11" t="str">
        <x:f>IF(AND(C78&gt;=6,K78="Direto público"),"A",IF(C78&gt;=5,"B","Revisar"))</x:f>
        <x:v>B</x:v>
      </x:c>
      <x:c r="C78" s="11" t="n">
        <x:f>2+IF(K78="Direto público",2,1)+2</x:f>
        <x:v>5</x:v>
      </x:c>
      <x:c r="D78" s="12" t="str">
        <x:v>96 Code</x:v>
      </x:c>
      <x:c r="E78" s="12" t="str">
        <x:v>Software house</x:v>
      </x:c>
      <x:c r="F78" s="12" t="str">
        <x:v>Recife</x:v>
      </x:c>
      <x:c r="G78" s="12" t="str">
        <x:v>PE</x:v>
      </x:c>
      <x:c r="H78" s="12" t="str">
        <x:v>Felipe Emanoel</x:v>
      </x:c>
      <x:c r="I78" s="12" t="str">
        <x:v>Fundador e CEO</x:v>
      </x:c>
      <x:c r="J78" s="12" t="str">
        <x:v>Site / contato</x:v>
      </x:c>
      <x:c r="K78" s="12" t="str">
        <x:v>Institucional</x:v>
      </x:c>
      <x:c r="L78" s="12" t="str">
        <x:v>Média</x:v>
      </x:c>
      <x:c r="M78" s="12" t="str">
        <x:v>R$ 150–200 mil (proxy)</x:v>
      </x:c>
      <x:c r="N78" s="12" t="str">
        <x:v>Fundada em 2018; projetos complexos e relacionamento próximo</x:v>
      </x:c>
      <x:c r="O78" s="12" t="str">
        <x:v>Sem estrutura dedicada localizada nas fontes consultadas; validar antes do contato</x:v>
      </x:c>
      <x:c r="P78" s="12" t="str">
        <x:v>Confirmar acesso ao decisor; depois validar faturamento + CX/CS</x:v>
      </x:c>
      <x:c r="Q78" s="12" t="str">
        <x:v>https://96code.com.br/sobre</x:v>
      </x:c>
      <x:c r="R78" s="13" t="n">
        <x:v>46237.625</x:v>
      </x:c>
      <x:c r="S78" s="12" t="str">
        <x:v>Não iniciado</x:v>
      </x:c>
    </x:row>
    <x:row r="79" ht="31" customHeight="1">
      <x:c r="A79" s="11" t="n">
        <x:v>78</x:v>
      </x:c>
      <x:c r="B79" s="11" t="str">
        <x:f>IF(AND(C79&gt;=6,K79="Direto público"),"A",IF(C79&gt;=5,"B","Revisar"))</x:f>
        <x:v>B</x:v>
      </x:c>
      <x:c r="C79" s="11" t="n">
        <x:f>3+IF(K79="Direto público",2,1)+2</x:f>
        <x:v>6</x:v>
      </x:c>
      <x:c r="D79" s="12" t="str">
        <x:v>Clicksoft</x:v>
      </x:c>
      <x:c r="E79" s="12" t="str">
        <x:v>Software house</x:v>
      </x:c>
      <x:c r="F79" s="12" t="str">
        <x:v>Rio de Janeiro</x:v>
      </x:c>
      <x:c r="G79" s="12" t="str">
        <x:v>RJ</x:v>
      </x:c>
      <x:c r="H79" s="12" t="str">
        <x:v>Gabriella Toledo</x:v>
      </x:c>
      <x:c r="I79" s="12" t="str">
        <x:v>CEO</x:v>
      </x:c>
      <x:c r="J79" s="12" t="str">
        <x:v>Site / contato</x:v>
      </x:c>
      <x:c r="K79" s="12" t="str">
        <x:v>Institucional</x:v>
      </x:c>
      <x:c r="L79" s="12" t="str">
        <x:v>Alta</x:v>
      </x:c>
      <x:c r="M79" s="12" t="str">
        <x:v>R$ 150–200 mil (proxy)</x:v>
      </x:c>
      <x:c r="N79" s="12" t="str">
        <x:v>25 anos e 600+ projetos; validar teto de receita</x:v>
      </x:c>
      <x:c r="O79" s="12" t="str">
        <x:v>Sem estrutura dedicada localizada nas fontes consultadas; validar antes do contato</x:v>
      </x:c>
      <x:c r="P79" s="12" t="str">
        <x:v>Confirmar acesso ao decisor; depois validar faturamento + CX/CS</x:v>
      </x:c>
      <x:c r="Q79" s="12" t="str">
        <x:v>https://clicksoft.com.br/sobre</x:v>
      </x:c>
      <x:c r="R79" s="13" t="n">
        <x:v>46237.625</x:v>
      </x:c>
      <x:c r="S79" s="12" t="str">
        <x:v>Não iniciado</x:v>
      </x:c>
    </x:row>
    <x:row r="80" ht="31" customHeight="1">
      <x:c r="A80" s="11" t="n">
        <x:v>79</x:v>
      </x:c>
      <x:c r="B80" s="11" t="str">
        <x:f>IF(AND(C80&gt;=6,K80="Direto público"),"A",IF(C80&gt;=5,"B","Revisar"))</x:f>
        <x:v>B</x:v>
      </x:c>
      <x:c r="C80" s="11" t="n">
        <x:f>2+IF(K80="Direto público",2,1)+1</x:f>
        <x:v>5</x:v>
      </x:c>
      <x:c r="D80" s="12" t="str">
        <x:v>PragmaSoft</x:v>
      </x:c>
      <x:c r="E80" s="12" t="str">
        <x:v>Software house</x:v>
      </x:c>
      <x:c r="F80" s="12" t="str">
        <x:v>Natal</x:v>
      </x:c>
      <x:c r="G80" s="12" t="str">
        <x:v>RN</x:v>
      </x:c>
      <x:c r="H80" s="12" t="str">
        <x:v>Daniel de Alcantara</x:v>
      </x:c>
      <x:c r="I80" s="12" t="str">
        <x:v>Fundador</x:v>
      </x:c>
      <x:c r="J80" s="12" t="str">
        <x:v>(11) 94236-0768</x:v>
      </x:c>
      <x:c r="K80" s="12" t="str">
        <x:v>Direto público</x:v>
      </x:c>
      <x:c r="L80" s="12" t="str">
        <x:v>Média</x:v>
      </x:c>
      <x:c r="M80" s="12" t="str">
        <x:v>R$ 100–150 mil (proxy)</x:v>
      </x:c>
      <x:c r="N80" s="12" t="str">
        <x:v>Equipe em expansão; portfólio prévio de 300 projetos</x:v>
      </x:c>
      <x:c r="O80" s="12" t="str">
        <x:v>Sem estrutura dedicada localizada nas fontes consultadas; validar antes do contato</x:v>
      </x:c>
      <x:c r="P80" s="12" t="str">
        <x:v>Contatar o decisor e validar faturamento + ausência de CX/CS</x:v>
      </x:c>
      <x:c r="Q80" s="12" t="str">
        <x:v>https://pragmasoft.com.br/sobre/</x:v>
      </x:c>
      <x:c r="R80" s="13" t="n">
        <x:v>46237.625</x:v>
      </x:c>
      <x:c r="S80" s="12" t="str">
        <x:v>Não iniciado</x:v>
      </x:c>
    </x:row>
    <x:row r="81" ht="31" customHeight="1">
      <x:c r="A81" s="11" t="n">
        <x:v>80</x:v>
      </x:c>
      <x:c r="B81" s="11" t="str">
        <x:f>IF(AND(C81&gt;=6,K81="Direto público"),"A",IF(C81&gt;=5,"B","Revisar"))</x:f>
        <x:v>A</x:v>
      </x:c>
      <x:c r="C81" s="11" t="n">
        <x:f>2+IF(K81="Direto público",2,1)+2</x:f>
        <x:v>6</x:v>
      </x:c>
      <x:c r="D81" s="12" t="str">
        <x:v>Nacional Software House</x:v>
      </x:c>
      <x:c r="E81" s="12" t="str">
        <x:v>Software house</x:v>
      </x:c>
      <x:c r="F81" s="12" t="str">
        <x:v>Curitiba</x:v>
      </x:c>
      <x:c r="G81" s="12" t="str">
        <x:v>PR</x:v>
      </x:c>
      <x:c r="H81" s="12" t="str">
        <x:v>João Stel</x:v>
      </x:c>
      <x:c r="I81" s="12" t="str">
        <x:v>Fundador e CEO</x:v>
      </x:c>
      <x:c r="J81" s="12" t="str">
        <x:v>(41) 99781-9114</x:v>
      </x:c>
      <x:c r="K81" s="12" t="str">
        <x:v>Direto público</x:v>
      </x:c>
      <x:c r="L81" s="12" t="str">
        <x:v>Média</x:v>
      </x:c>
      <x:c r="M81" s="12" t="str">
        <x:v>R$ 150–200 mil (proxy)</x:v>
      </x:c>
      <x:c r="N81" s="12" t="str">
        <x:v>Time executivo de 3 líderes; produtos e projetos B2B</x:v>
      </x:c>
      <x:c r="O81" s="12" t="str">
        <x:v>Sem estrutura dedicada localizada nas fontes consultadas; validar antes do contato</x:v>
      </x:c>
      <x:c r="P81" s="12" t="str">
        <x:v>Contatar o decisor e validar faturamento + ausência de CX/CS</x:v>
      </x:c>
      <x:c r="Q81" s="12" t="str">
        <x:v>https://www.nacionalsoftware.com.br/</x:v>
      </x:c>
      <x:c r="R81" s="13" t="n">
        <x:v>46237.625</x:v>
      </x:c>
      <x:c r="S81" s="12" t="str">
        <x:v>Não iniciado</x:v>
      </x:c>
    </x:row>
    <x:row r="82" ht="31" customHeight="1">
      <x:c r="A82" s="11" t="n">
        <x:v>81</x:v>
      </x:c>
      <x:c r="B82" s="11" t="str">
        <x:f>IF(AND(C82&gt;=6,K82="Direto público"),"A",IF(C82&gt;=5,"B","Revisar"))</x:f>
        <x:v>B</x:v>
      </x:c>
      <x:c r="C82" s="11" t="n">
        <x:f>2+IF(K82="Direto público",2,1)+1</x:f>
        <x:v>5</x:v>
      </x:c>
      <x:c r="D82" s="12" t="str">
        <x:v>MXMO</x:v>
      </x:c>
      <x:c r="E82" s="12" t="str">
        <x:v>Produto digital e IA</x:v>
      </x:c>
      <x:c r="F82" s="12" t="str">
        <x:v>São Paulo</x:v>
      </x:c>
      <x:c r="G82" s="12" t="str">
        <x:v>SP</x:v>
      </x:c>
      <x:c r="H82" s="12" t="str">
        <x:v>Alexandre Máximo</x:v>
      </x:c>
      <x:c r="I82" s="12" t="str">
        <x:v>Fundador</x:v>
      </x:c>
      <x:c r="J82" s="12" t="str">
        <x:v>alexandre@mxmo.com.br</x:v>
      </x:c>
      <x:c r="K82" s="12" t="str">
        <x:v>Direto público</x:v>
      </x:c>
      <x:c r="L82" s="12" t="str">
        <x:v>Média</x:v>
      </x:c>
      <x:c r="M82" s="12" t="str">
        <x:v>R$ 100–150 mil (proxy)</x:v>
      </x:c>
      <x:c r="N82" s="12" t="str">
        <x:v>50+ projetos e atuação B2B premium</x:v>
      </x:c>
      <x:c r="O82" s="12" t="str">
        <x:v>Sem estrutura dedicada localizada nas fontes consultadas; validar antes do contato</x:v>
      </x:c>
      <x:c r="P82" s="12" t="str">
        <x:v>Contatar o decisor e validar faturamento + ausência de CX/CS</x:v>
      </x:c>
      <x:c r="Q82" s="12" t="str">
        <x:v>https://www.mxmo.com.br/</x:v>
      </x:c>
      <x:c r="R82" s="13" t="n">
        <x:v>46237.625</x:v>
      </x:c>
      <x:c r="S82" s="12" t="str">
        <x:v>Não iniciado</x:v>
      </x:c>
    </x:row>
    <x:row r="83" ht="31" customHeight="1">
      <x:c r="A83" s="11" t="n">
        <x:v>82</x:v>
      </x:c>
      <x:c r="B83" s="11" t="str">
        <x:f>IF(AND(C83&gt;=6,K83="Direto público"),"A",IF(C83&gt;=5,"B","Revisar"))</x:f>
        <x:v>B</x:v>
      </x:c>
      <x:c r="C83" s="11" t="n">
        <x:f>2+IF(K83="Direto público",2,1)+1</x:f>
        <x:v>5</x:v>
      </x:c>
      <x:c r="D83" s="12" t="str">
        <x:v>VergueiroTECH</x:v>
      </x:c>
      <x:c r="E83" s="12" t="str">
        <x:v>Software house</x:v>
      </x:c>
      <x:c r="F83" s="12" t="str">
        <x:v>Pouso Alegre</x:v>
      </x:c>
      <x:c r="G83" s="12" t="str">
        <x:v>MG</x:v>
      </x:c>
      <x:c r="H83" s="12" t="str">
        <x:v>Pedro Vergueiro</x:v>
      </x:c>
      <x:c r="I83" s="12" t="str">
        <x:v>Fundador</x:v>
      </x:c>
      <x:c r="J83" s="12" t="str">
        <x:v>(35) 99988-3408</x:v>
      </x:c>
      <x:c r="K83" s="12" t="str">
        <x:v>Direto público</x:v>
      </x:c>
      <x:c r="L83" s="12" t="str">
        <x:v>Média</x:v>
      </x:c>
      <x:c r="M83" s="12" t="str">
        <x:v>R$ 100–150 mil (proxy)</x:v>
      </x:c>
      <x:c r="N83" s="12" t="str">
        <x:v>Sistemas e automações para indústria; fundador executa</x:v>
      </x:c>
      <x:c r="O83" s="12" t="str">
        <x:v>Sem estrutura dedicada localizada nas fontes consultadas; validar antes do contato</x:v>
      </x:c>
      <x:c r="P83" s="12" t="str">
        <x:v>Contatar o decisor e validar faturamento + ausência de CX/CS</x:v>
      </x:c>
      <x:c r="Q83" s="12" t="str">
        <x:v>https://www.vergueirotech.com.br/</x:v>
      </x:c>
      <x:c r="R83" s="13" t="n">
        <x:v>46237.625</x:v>
      </x:c>
      <x:c r="S83" s="12" t="str">
        <x:v>Não iniciado</x:v>
      </x:c>
    </x:row>
    <x:row r="84" ht="31" customHeight="1">
      <x:c r="A84" s="11" t="n">
        <x:v>83</x:v>
      </x:c>
      <x:c r="B84" s="11" t="str">
        <x:f>IF(AND(C84&gt;=6,K84="Direto público"),"A",IF(C84&gt;=5,"B","Revisar"))</x:f>
        <x:v>B</x:v>
      </x:c>
      <x:c r="C84" s="11" t="n">
        <x:f>3+IF(K84="Direto público",2,1)+2</x:f>
        <x:v>6</x:v>
      </x:c>
      <x:c r="D84" s="12" t="str">
        <x:v>W16 Software House</x:v>
      </x:c>
      <x:c r="E84" s="12" t="str">
        <x:v>Software house</x:v>
      </x:c>
      <x:c r="F84" s="12" t="str">
        <x:v>Florianópolis</x:v>
      </x:c>
      <x:c r="G84" s="12" t="str">
        <x:v>SC</x:v>
      </x:c>
      <x:c r="H84" s="12" t="str">
        <x:v>Filipe Eckschmidt</x:v>
      </x:c>
      <x:c r="I84" s="12" t="str">
        <x:v>Liderança / decisor</x:v>
      </x:c>
      <x:c r="J84" s="12" t="str">
        <x:v>Site / LinkedIn</x:v>
      </x:c>
      <x:c r="K84" s="12" t="str">
        <x:v>Institucional</x:v>
      </x:c>
      <x:c r="L84" s="12" t="str">
        <x:v>Alta</x:v>
      </x:c>
      <x:c r="M84" s="12" t="str">
        <x:v>R$ 150–200 mil (proxy)</x:v>
      </x:c>
      <x:c r="N84" s="12" t="str">
        <x:v>11–50 profissionais; fundada em 2013</x:v>
      </x:c>
      <x:c r="O84" s="12" t="str">
        <x:v>Sem estrutura dedicada localizada nas fontes consultadas; validar antes do contato</x:v>
      </x:c>
      <x:c r="P84" s="12" t="str">
        <x:v>Confirmar acesso ao decisor; depois validar faturamento + CX/CS</x:v>
      </x:c>
      <x:c r="Q84" s="12" t="str">
        <x:v>https://www.linkedin.com/company/w16-software-house</x:v>
      </x:c>
      <x:c r="R84" s="13" t="n">
        <x:v>46237.625</x:v>
      </x:c>
      <x:c r="S84" s="12" t="str">
        <x:v>Não iniciado</x:v>
      </x:c>
    </x:row>
    <x:row r="85" ht="31" customHeight="1">
      <x:c r="A85" s="11" t="n">
        <x:v>84</x:v>
      </x:c>
      <x:c r="B85" s="11" t="str">
        <x:f>IF(AND(C85&gt;=6,K85="Direto público"),"A",IF(C85&gt;=5,"B","Revisar"))</x:f>
        <x:v>A</x:v>
      </x:c>
      <x:c r="C85" s="11" t="n">
        <x:f>2+IF(K85="Direto público",2,1)+2</x:f>
        <x:v>6</x:v>
      </x:c>
      <x:c r="D85" s="12" t="str">
        <x:v>Solid Strategy Co.</x:v>
      </x:c>
      <x:c r="E85" s="12" t="str">
        <x:v>Tecnologia e consultoria</x:v>
      </x:c>
      <x:c r="F85" s="12" t="str">
        <x:v>Campinas</x:v>
      </x:c>
      <x:c r="G85" s="12" t="str">
        <x:v>SP</x:v>
      </x:c>
      <x:c r="H85" s="12" t="str">
        <x:v>Edlen Silva Ribeiro</x:v>
      </x:c>
      <x:c r="I85" s="12" t="str">
        <x:v>Fundador</x:v>
      </x:c>
      <x:c r="J85" s="12" t="str">
        <x:v>(19) 97410-2557</x:v>
      </x:c>
      <x:c r="K85" s="12" t="str">
        <x:v>Direto público</x:v>
      </x:c>
      <x:c r="L85" s="12" t="str">
        <x:v>Média</x:v>
      </x:c>
      <x:c r="M85" s="12" t="str">
        <x:v>R$ 150–200 mil (proxy)</x:v>
      </x:c>
      <x:c r="N85" s="12" t="str">
        <x:v>Consultoria e tecnologia para pequenas organizações</x:v>
      </x:c>
      <x:c r="O85" s="12" t="str">
        <x:v>Sem estrutura dedicada localizada nas fontes consultadas; validar antes do contato</x:v>
      </x:c>
      <x:c r="P85" s="12" t="str">
        <x:v>Contatar o decisor e validar faturamento + ausência de CX/CS</x:v>
      </x:c>
      <x:c r="Q85" s="12" t="str">
        <x:v>https://www.solidstrategy.com.br/</x:v>
      </x:c>
      <x:c r="R85" s="13" t="n">
        <x:v>46237.625</x:v>
      </x:c>
      <x:c r="S85" s="12" t="str">
        <x:v>Não iniciado</x:v>
      </x:c>
    </x:row>
    <x:row r="86" ht="31" customHeight="1">
      <x:c r="A86" s="11" t="n">
        <x:v>85</x:v>
      </x:c>
      <x:c r="B86" s="11" t="str">
        <x:f>IF(AND(C86&gt;=6,K86="Direto público"),"A",IF(C86&gt;=5,"B","Revisar"))</x:f>
        <x:v>B</x:v>
      </x:c>
      <x:c r="C86" s="11" t="n">
        <x:f>3+IF(K86="Direto público",2,1)+2</x:f>
        <x:v>6</x:v>
      </x:c>
      <x:c r="D86" s="12" t="str">
        <x:v>Atomsix Studio</x:v>
      </x:c>
      <x:c r="E86" s="12" t="str">
        <x:v>Design e tecnologia</x:v>
      </x:c>
      <x:c r="F86" s="12" t="str">
        <x:v>Palhoça</x:v>
      </x:c>
      <x:c r="G86" s="12" t="str">
        <x:v>SC</x:v>
      </x:c>
      <x:c r="H86" s="12" t="str">
        <x:v>Guilherme Ferreira</x:v>
      </x:c>
      <x:c r="I86" s="12" t="str">
        <x:v>Cofundador e CEO</x:v>
      </x:c>
      <x:c r="J86" s="12" t="str">
        <x:v>marketing@atomsix.com.br</x:v>
      </x:c>
      <x:c r="K86" s="12" t="str">
        <x:v>Institucional</x:v>
      </x:c>
      <x:c r="L86" s="12" t="str">
        <x:v>Alta</x:v>
      </x:c>
      <x:c r="M86" s="12" t="str">
        <x:v>R$ 150–200 mil (proxy)</x:v>
      </x:c>
      <x:c r="N86" s="12" t="str">
        <x:v>10–49 em diretório; 350+ empresas atendidas; validar teto de receita</x:v>
      </x:c>
      <x:c r="O86" s="12" t="str">
        <x:v>Sem estrutura dedicada localizada nas fontes consultadas; validar antes do contato</x:v>
      </x:c>
      <x:c r="P86" s="12" t="str">
        <x:v>Confirmar acesso ao decisor; depois validar faturamento + CX/CS</x:v>
      </x:c>
      <x:c r="Q86" s="12" t="str">
        <x:v>https://www.linkedin.com/company/atomsix</x:v>
      </x:c>
      <x:c r="R86" s="13" t="n">
        <x:v>46237.625</x:v>
      </x:c>
      <x:c r="S86" s="12" t="str">
        <x:v>Não iniciado</x:v>
      </x:c>
    </x:row>
    <x:row r="87" ht="31" customHeight="1">
      <x:c r="A87" s="11" t="n">
        <x:v>86</x:v>
      </x:c>
      <x:c r="B87" s="11" t="str">
        <x:f>IF(AND(C87&gt;=6,K87="Direto público"),"A",IF(C87&gt;=5,"B","Revisar"))</x:f>
        <x:v>A</x:v>
      </x:c>
      <x:c r="C87" s="11" t="n">
        <x:f>3+IF(K87="Direto público",2,1)+2</x:f>
        <x:v>7</x:v>
      </x:c>
      <x:c r="D87" s="12" t="str">
        <x:v>WGB Arquitetura e Engenharia</x:v>
      </x:c>
      <x:c r="E87" s="12" t="str">
        <x:v>Arquitetura/engenharia</x:v>
      </x:c>
      <x:c r="F87" s="12" t="str">
        <x:v>Balneário Piçarras</x:v>
      </x:c>
      <x:c r="G87" s="12" t="str">
        <x:v>SC</x:v>
      </x:c>
      <x:c r="H87" s="12" t="str">
        <x:v>Willian Gabriel Berkenbrock</x:v>
      </x:c>
      <x:c r="I87" s="12" t="str">
        <x:v>Fundador</x:v>
      </x:c>
      <x:c r="J87" s="12" t="str">
        <x:v>(47) 98405-9474</x:v>
      </x:c>
      <x:c r="K87" s="12" t="str">
        <x:v>Direto público</x:v>
      </x:c>
      <x:c r="L87" s="12" t="str">
        <x:v>Alta</x:v>
      </x:c>
      <x:c r="M87" s="12" t="str">
        <x:v>R$ 150–200 mil (proxy)</x:v>
      </x:c>
      <x:c r="N87" s="12" t="str">
        <x:v>11–50 profissionais; 750 mil m² projetados</x:v>
      </x:c>
      <x:c r="O87" s="12" t="str">
        <x:v>Sem estrutura dedicada localizada nas fontes consultadas; validar antes do contato</x:v>
      </x:c>
      <x:c r="P87" s="12" t="str">
        <x:v>Contatar o decisor e validar faturamento + ausência de CX/CS</x:v>
      </x:c>
      <x:c r="Q87" s="12" t="str">
        <x:v>https://www.wgbengenharia.com/sobre-nos/</x:v>
      </x:c>
      <x:c r="R87" s="13" t="n">
        <x:v>46237.625</x:v>
      </x:c>
      <x:c r="S87" s="12" t="str">
        <x:v>Não iniciado</x:v>
      </x:c>
    </x:row>
    <x:row r="88" ht="31" customHeight="1">
      <x:c r="A88" s="11" t="n">
        <x:v>87</x:v>
      </x:c>
      <x:c r="B88" s="11" t="str">
        <x:f>IF(AND(C88&gt;=6,K88="Direto público"),"A",IF(C88&gt;=5,"B","Revisar"))</x:f>
        <x:v>B</x:v>
      </x:c>
      <x:c r="C88" s="11" t="n">
        <x:f>2+IF(K88="Direto público",2,1)+1</x:f>
        <x:v>5</x:v>
      </x:c>
      <x:c r="D88" s="12" t="str">
        <x:v>CL Ambiental Consultoria</x:v>
      </x:c>
      <x:c r="E88" s="12" t="str">
        <x:v>Consultoria ambiental</x:v>
      </x:c>
      <x:c r="F88" s="12" t="str">
        <x:v>São José do Rio Preto</x:v>
      </x:c>
      <x:c r="G88" s="12" t="str">
        <x:v>SP</x:v>
      </x:c>
      <x:c r="H88" s="12" t="str">
        <x:v>Cesar Leandro Jeronimo</x:v>
      </x:c>
      <x:c r="I88" s="12" t="str">
        <x:v>Fundador e CEO</x:v>
      </x:c>
      <x:c r="J88" s="12" t="str">
        <x:v>(17) 99605-7441</x:v>
      </x:c>
      <x:c r="K88" s="12" t="str">
        <x:v>Direto público</x:v>
      </x:c>
      <x:c r="L88" s="12" t="str">
        <x:v>Média</x:v>
      </x:c>
      <x:c r="M88" s="12" t="str">
        <x:v>R$ 100–150 mil (proxy)</x:v>
      </x:c>
      <x:c r="N88" s="12" t="str">
        <x:v>12+ anos de experiência e serviços B2B regulatórios</x:v>
      </x:c>
      <x:c r="O88" s="12" t="str">
        <x:v>Sem estrutura dedicada localizada nas fontes consultadas; validar antes do contato</x:v>
      </x:c>
      <x:c r="P88" s="12" t="str">
        <x:v>Contatar o decisor e validar faturamento + ausência de CX/CS</x:v>
      </x:c>
      <x:c r="Q88" s="12" t="str">
        <x:v>https://www.clambientalconsultoria.com/</x:v>
      </x:c>
      <x:c r="R88" s="13" t="n">
        <x:v>46237.625</x:v>
      </x:c>
      <x:c r="S88" s="12" t="str">
        <x:v>Não iniciado</x:v>
      </x:c>
    </x:row>
    <x:row r="89" ht="31" customHeight="1">
      <x:c r="A89" s="11" t="n">
        <x:v>88</x:v>
      </x:c>
      <x:c r="B89" s="11" t="str">
        <x:f>IF(AND(C89&gt;=6,K89="Direto público"),"A",IF(C89&gt;=5,"B","Revisar"))</x:f>
        <x:v>B</x:v>
      </x:c>
      <x:c r="C89" s="11" t="n">
        <x:f>2+IF(K89="Direto público",2,1)+2</x:f>
        <x:v>5</x:v>
      </x:c>
      <x:c r="D89" s="12" t="str">
        <x:v>Vivaci Consultoria</x:v>
      </x:c>
      <x:c r="E89" s="12" t="str">
        <x:v>Consultoria ambiental</x:v>
      </x:c>
      <x:c r="F89" s="12" t="str">
        <x:v>Caratinga</x:v>
      </x:c>
      <x:c r="G89" s="12" t="str">
        <x:v>MG</x:v>
      </x:c>
      <x:c r="H89" s="12" t="str">
        <x:v>Eduardo Buzim Junior</x:v>
      </x:c>
      <x:c r="I89" s="12" t="str">
        <x:v>Fundador</x:v>
      </x:c>
      <x:c r="J89" s="12" t="str">
        <x:v>(33) 3321-8688</x:v>
      </x:c>
      <x:c r="K89" s="12" t="str">
        <x:v>Institucional</x:v>
      </x:c>
      <x:c r="L89" s="12" t="str">
        <x:v>Média</x:v>
      </x:c>
      <x:c r="M89" s="12" t="str">
        <x:v>R$ 150–200 mil (proxy)</x:v>
      </x:c>
      <x:c r="N89" s="12" t="str">
        <x:v>Fundada em 2013; corpo técnico e parceiros multidisciplinares</x:v>
      </x:c>
      <x:c r="O89" s="12" t="str">
        <x:v>Sem estrutura dedicada localizada nas fontes consultadas; validar antes do contato</x:v>
      </x:c>
      <x:c r="P89" s="12" t="str">
        <x:v>Confirmar acesso ao decisor; depois validar faturamento + CX/CS</x:v>
      </x:c>
      <x:c r="Q89" s="12" t="str">
        <x:v>https://www.vivaciconsultoria.com.br/</x:v>
      </x:c>
      <x:c r="R89" s="13" t="n">
        <x:v>46237.625</x:v>
      </x:c>
      <x:c r="S89" s="12" t="str">
        <x:v>Não iniciado</x:v>
      </x:c>
    </x:row>
    <x:row r="90" ht="31" customHeight="1">
      <x:c r="A90" s="11" t="n">
        <x:v>89</x:v>
      </x:c>
      <x:c r="B90" s="11" t="str">
        <x:f>IF(AND(C90&gt;=6,K90="Direto público"),"A",IF(C90&gt;=5,"B","Revisar"))</x:f>
        <x:v>B</x:v>
      </x:c>
      <x:c r="C90" s="11" t="n">
        <x:f>2+IF(K90="Direto público",2,1)+1</x:f>
        <x:v>5</x:v>
      </x:c>
      <x:c r="D90" s="12" t="str">
        <x:v>BCA Projetos</x:v>
      </x:c>
      <x:c r="E90" s="12" t="str">
        <x:v>Consultoria ambiental/engenharia</x:v>
      </x:c>
      <x:c r="F90" s="12" t="str">
        <x:v>Brasil</x:v>
      </x:c>
      <x:c r="G90" s="12" t="str">
        <x:v>BR</x:v>
      </x:c>
      <x:c r="H90" s="12" t="str">
        <x:v>Renan Francisco Silveira Cassaro</x:v>
      </x:c>
      <x:c r="I90" s="12" t="str">
        <x:v>Fundador</x:v>
      </x:c>
      <x:c r="J90" s="12" t="str">
        <x:v>Site / WhatsApp</x:v>
      </x:c>
      <x:c r="K90" s="12" t="str">
        <x:v>Direto público</x:v>
      </x:c>
      <x:c r="L90" s="12" t="str">
        <x:v>Média</x:v>
      </x:c>
      <x:c r="M90" s="12" t="str">
        <x:v>R$ 100–150 mil (proxy)</x:v>
      </x:c>
      <x:c r="N90" s="12" t="str">
        <x:v>Consultoria técnica B2B em mineração, infraestrutura e agro</x:v>
      </x:c>
      <x:c r="O90" s="12" t="str">
        <x:v>Sem estrutura dedicada localizada nas fontes consultadas; validar antes do contato</x:v>
      </x:c>
      <x:c r="P90" s="12" t="str">
        <x:v>Contatar o decisor e validar faturamento + ausência de CX/CS</x:v>
      </x:c>
      <x:c r="Q90" s="12" t="str">
        <x:v>https://bcaprojetos.com.br/</x:v>
      </x:c>
      <x:c r="R90" s="13" t="n">
        <x:v>46237.625</x:v>
      </x:c>
      <x:c r="S90" s="12" t="str">
        <x:v>Não iniciado</x:v>
      </x:c>
    </x:row>
    <x:row r="91" ht="31" customHeight="1">
      <x:c r="A91" s="11" t="n">
        <x:v>90</x:v>
      </x:c>
      <x:c r="B91" s="11" t="str">
        <x:f>IF(AND(C91&gt;=6,K91="Direto público"),"A",IF(C91&gt;=5,"B","Revisar"))</x:f>
        <x:v>B</x:v>
      </x:c>
      <x:c r="C91" s="11" t="n">
        <x:f>2+IF(K91="Direto público",2,1)+1</x:f>
        <x:v>5</x:v>
      </x:c>
      <x:c r="D91" s="12" t="str">
        <x:v>Arboriza Consultoria Ambiental</x:v>
      </x:c>
      <x:c r="E91" s="12" t="str">
        <x:v>Consultoria ambiental</x:v>
      </x:c>
      <x:c r="F91" s="12" t="str">
        <x:v>Montes Claros</x:v>
      </x:c>
      <x:c r="G91" s="12" t="str">
        <x:v>MG</x:v>
      </x:c>
      <x:c r="H91" s="12" t="str">
        <x:v>Douglas William Nunes de Oliveira</x:v>
      </x:c>
      <x:c r="I91" s="12" t="str">
        <x:v>Fundador</x:v>
      </x:c>
      <x:c r="J91" s="12" t="str">
        <x:v>(38) 99970-6736</x:v>
      </x:c>
      <x:c r="K91" s="12" t="str">
        <x:v>Direto público</x:v>
      </x:c>
      <x:c r="L91" s="12" t="str">
        <x:v>Média</x:v>
      </x:c>
      <x:c r="M91" s="12" t="str">
        <x:v>R$ 100–150 mil (proxy)</x:v>
      </x:c>
      <x:c r="N91" s="12" t="str">
        <x:v>Equipe técnica e jurídica; atuação empresarial regional</x:v>
      </x:c>
      <x:c r="O91" s="12" t="str">
        <x:v>Sem estrutura dedicada localizada nas fontes consultadas; validar antes do contato</x:v>
      </x:c>
      <x:c r="P91" s="12" t="str">
        <x:v>Contatar o decisor e validar faturamento + ausência de CX/CS</x:v>
      </x:c>
      <x:c r="Q91" s="12" t="str">
        <x:v>https://www.arborizaconsultoria.com.br/</x:v>
      </x:c>
      <x:c r="R91" s="13" t="n">
        <x:v>46237.625</x:v>
      </x:c>
      <x:c r="S91" s="12" t="str">
        <x:v>Não iniciado</x:v>
      </x:c>
    </x:row>
    <x:row r="92" ht="31" customHeight="1">
      <x:c r="A92" s="11" t="n">
        <x:v>91</x:v>
      </x:c>
      <x:c r="B92" s="11" t="str">
        <x:f>IF(AND(C92&gt;=6,K92="Direto público"),"A",IF(C92&gt;=5,"B","Revisar"))</x:f>
        <x:v>A</x:v>
      </x:c>
      <x:c r="C92" s="11" t="n">
        <x:f>2+IF(K92="Direto público",2,1)+2</x:f>
        <x:v>6</x:v>
      </x:c>
      <x:c r="D92" s="12" t="str">
        <x:v>PAR Ambiente</x:v>
      </x:c>
      <x:c r="E92" s="12" t="str">
        <x:v>Consultoria ambiental</x:v>
      </x:c>
      <x:c r="F92" s="12" t="str">
        <x:v>São Paulo</x:v>
      </x:c>
      <x:c r="G92" s="12" t="str">
        <x:v>SP</x:v>
      </x:c>
      <x:c r="H92" s="12" t="str">
        <x:v>Flávio Ferlini Salles</x:v>
      </x:c>
      <x:c r="I92" s="12" t="str">
        <x:v>Cofundador</x:v>
      </x:c>
      <x:c r="J92" s="12" t="str">
        <x:v>Site / WhatsApp</x:v>
      </x:c>
      <x:c r="K92" s="12" t="str">
        <x:v>Direto público</x:v>
      </x:c>
      <x:c r="L92" s="12" t="str">
        <x:v>Média</x:v>
      </x:c>
      <x:c r="M92" s="12" t="str">
        <x:v>R$ 150–200 mil (proxy)</x:v>
      </x:c>
      <x:c r="N92" s="12" t="str">
        <x:v>Boutique desde 2011; clientes nacionais e multinacionais</x:v>
      </x:c>
      <x:c r="O92" s="12" t="str">
        <x:v>Sem estrutura dedicada localizada nas fontes consultadas; validar antes do contato</x:v>
      </x:c>
      <x:c r="P92" s="12" t="str">
        <x:v>Contatar o decisor e validar faturamento + ausência de CX/CS</x:v>
      </x:c>
      <x:c r="Q92" s="12" t="str">
        <x:v>https://www.parambiente.com.br/</x:v>
      </x:c>
      <x:c r="R92" s="13" t="n">
        <x:v>46237.625</x:v>
      </x:c>
      <x:c r="S92" s="12" t="str">
        <x:v>Não iniciado</x:v>
      </x:c>
    </x:row>
    <x:row r="93" ht="31" customHeight="1">
      <x:c r="A93" s="11" t="n">
        <x:v>92</x:v>
      </x:c>
      <x:c r="B93" s="11" t="str">
        <x:f>IF(AND(C93&gt;=6,K93="Direto público"),"A",IF(C93&gt;=5,"B","Revisar"))</x:f>
        <x:v>B</x:v>
      </x:c>
      <x:c r="C93" s="11" t="n">
        <x:f>2+IF(K93="Direto público",2,1)+1</x:f>
        <x:v>5</x:v>
      </x:c>
      <x:c r="D93" s="12" t="str">
        <x:v>Orgado Engenharia</x:v>
      </x:c>
      <x:c r="E93" s="12" t="str">
        <x:v>Engenharia civil</x:v>
      </x:c>
      <x:c r="F93" s="12" t="str">
        <x:v>Umuarama</x:v>
      </x:c>
      <x:c r="G93" s="12" t="str">
        <x:v>PR</x:v>
      </x:c>
      <x:c r="H93" s="12" t="str">
        <x:v>Wellington Orgado</x:v>
      </x:c>
      <x:c r="I93" s="12" t="str">
        <x:v>Fundador</x:v>
      </x:c>
      <x:c r="J93" s="12" t="str">
        <x:v>(44) 99925-4941</x:v>
      </x:c>
      <x:c r="K93" s="12" t="str">
        <x:v>Direto público</x:v>
      </x:c>
      <x:c r="L93" s="12" t="str">
        <x:v>Média</x:v>
      </x:c>
      <x:c r="M93" s="12" t="str">
        <x:v>R$ 100–150 mil (proxy)</x:v>
      </x:c>
      <x:c r="N93" s="12" t="str">
        <x:v>Operação enxuta B2B; projetos e segurança do trabalho</x:v>
      </x:c>
      <x:c r="O93" s="12" t="str">
        <x:v>Sem estrutura dedicada localizada nas fontes consultadas; validar antes do contato</x:v>
      </x:c>
      <x:c r="P93" s="12" t="str">
        <x:v>Contatar o decisor e validar faturamento + ausência de CX/CS</x:v>
      </x:c>
      <x:c r="Q93" s="12" t="str">
        <x:v>https://orgado.com.br/</x:v>
      </x:c>
      <x:c r="R93" s="13" t="n">
        <x:v>46237.625</x:v>
      </x:c>
      <x:c r="S93" s="12" t="str">
        <x:v>Não iniciado</x:v>
      </x:c>
    </x:row>
    <x:row r="94" ht="31" customHeight="1">
      <x:c r="A94" s="11" t="n">
        <x:v>93</x:v>
      </x:c>
      <x:c r="B94" s="11" t="str">
        <x:f>IF(AND(C94&gt;=6,K94="Direto público"),"A",IF(C94&gt;=5,"B","Revisar"))</x:f>
        <x:v>B</x:v>
      </x:c>
      <x:c r="C94" s="11" t="n">
        <x:f>2+IF(K94="Direto público",2,1)+1</x:f>
        <x:v>5</x:v>
      </x:c>
      <x:c r="D94" s="12" t="str">
        <x:v>Marin Consultoria</x:v>
      </x:c>
      <x:c r="E94" s="12" t="str">
        <x:v>Consultoria técnica</x:v>
      </x:c>
      <x:c r="F94" s="12" t="str">
        <x:v>Americana</x:v>
      </x:c>
      <x:c r="G94" s="12" t="str">
        <x:v>SP</x:v>
      </x:c>
      <x:c r="H94" s="12" t="str">
        <x:v>Danilo Marin</x:v>
      </x:c>
      <x:c r="I94" s="12" t="str">
        <x:v>Sócio-fundador</x:v>
      </x:c>
      <x:c r="J94" s="12" t="str">
        <x:v>(19) 99258-6989</x:v>
      </x:c>
      <x:c r="K94" s="12" t="str">
        <x:v>Direto público</x:v>
      </x:c>
      <x:c r="L94" s="12" t="str">
        <x:v>Média</x:v>
      </x:c>
      <x:c r="M94" s="12" t="str">
        <x:v>R$ 100–150 mil (proxy)</x:v>
      </x:c>
      <x:c r="N94" s="12" t="str">
        <x:v>Desde 2015; otimização de processos e sistemas</x:v>
      </x:c>
      <x:c r="O94" s="12" t="str">
        <x:v>Sem estrutura dedicada localizada nas fontes consultadas; validar antes do contato</x:v>
      </x:c>
      <x:c r="P94" s="12" t="str">
        <x:v>Contatar o decisor e validar faturamento + ausência de CX/CS</x:v>
      </x:c>
      <x:c r="Q94" s="12" t="str">
        <x:v>https://marinconsultoria.com.br/</x:v>
      </x:c>
      <x:c r="R94" s="13" t="n">
        <x:v>46237.625</x:v>
      </x:c>
      <x:c r="S94" s="12" t="str">
        <x:v>Não iniciado</x:v>
      </x:c>
    </x:row>
    <x:row r="95" ht="31" customHeight="1">
      <x:c r="A95" s="11" t="n">
        <x:v>94</x:v>
      </x:c>
      <x:c r="B95" s="11" t="str">
        <x:f>IF(AND(C95&gt;=6,K95="Direto público"),"A",IF(C95&gt;=5,"B","Revisar"))</x:f>
        <x:v>B</x:v>
      </x:c>
      <x:c r="C95" s="11" t="n">
        <x:f>3+IF(K95="Direto público",2,1)+2</x:f>
        <x:v>6</x:v>
      </x:c>
      <x:c r="D95" s="12" t="str">
        <x:v>A2J Consultoria Ambiental</x:v>
      </x:c>
      <x:c r="E95" s="12" t="str">
        <x:v>Consultoria ambiental</x:v>
      </x:c>
      <x:c r="F95" s="12" t="str">
        <x:v>Cotia</x:v>
      </x:c>
      <x:c r="G95" s="12" t="str">
        <x:v>SP</x:v>
      </x:c>
      <x:c r="H95" s="12" t="str">
        <x:v>Andre Hori</x:v>
      </x:c>
      <x:c r="I95" s="12" t="str">
        <x:v>Liderança / decisor</x:v>
      </x:c>
      <x:c r="J95" s="12" t="str">
        <x:v>Site / contato</x:v>
      </x:c>
      <x:c r="K95" s="12" t="str">
        <x:v>Institucional</x:v>
      </x:c>
      <x:c r="L95" s="12" t="str">
        <x:v>Alta</x:v>
      </x:c>
      <x:c r="M95" s="12" t="str">
        <x:v>R$ 150–200 mil (proxy)</x:v>
      </x:c>
      <x:c r="N95" s="12" t="str">
        <x:v>11–50 profissionais; cerca de 49 perfis públicos</x:v>
      </x:c>
      <x:c r="O95" s="12" t="str">
        <x:v>Sem estrutura dedicada localizada nas fontes consultadas; validar antes do contato</x:v>
      </x:c>
      <x:c r="P95" s="12" t="str">
        <x:v>Confirmar acesso ao decisor; depois validar faturamento + CX/CS</x:v>
      </x:c>
      <x:c r="Q95" s="12" t="str">
        <x:v>https://br.linkedin.com/company/a2j-consultoriaambiental</x:v>
      </x:c>
      <x:c r="R95" s="13" t="n">
        <x:v>46237.625</x:v>
      </x:c>
      <x:c r="S95" s="12" t="str">
        <x:v>Não iniciado</x:v>
      </x:c>
    </x:row>
    <x:row r="96" ht="31" customHeight="1">
      <x:c r="A96" s="11" t="n">
        <x:v>95</x:v>
      </x:c>
      <x:c r="B96" s="11" t="str">
        <x:f>IF(AND(C96&gt;=6,K96="Direto público"),"A",IF(C96&gt;=5,"B","Revisar"))</x:f>
        <x:v>B</x:v>
      </x:c>
      <x:c r="C96" s="11" t="n">
        <x:f>3+IF(K96="Direto público",2,1)+2</x:f>
        <x:v>6</x:v>
      </x:c>
      <x:c r="D96" s="12" t="str">
        <x:v>M2P Arquitetura e Engenharia</x:v>
      </x:c>
      <x:c r="E96" s="12" t="str">
        <x:v>Arquitetura/engenharia</x:v>
      </x:c>
      <x:c r="F96" s="12" t="str">
        <x:v>Belém</x:v>
      </x:c>
      <x:c r="G96" s="12" t="str">
        <x:v>PA</x:v>
      </x:c>
      <x:c r="H96" s="12" t="str">
        <x:v>Joaquim Meira</x:v>
      </x:c>
      <x:c r="I96" s="12" t="str">
        <x:v>Sócio / liderança</x:v>
      </x:c>
      <x:c r="J96" s="12" t="str">
        <x:v>Site / contato</x:v>
      </x:c>
      <x:c r="K96" s="12" t="str">
        <x:v>Institucional</x:v>
      </x:c>
      <x:c r="L96" s="12" t="str">
        <x:v>Alta</x:v>
      </x:c>
      <x:c r="M96" s="12" t="str">
        <x:v>R$ 150–200 mil (proxy)</x:v>
      </x:c>
      <x:c r="N96" s="12" t="str">
        <x:v>11–50 profissionais e equipe multidisciplinar</x:v>
      </x:c>
      <x:c r="O96" s="12" t="str">
        <x:v>Sem estrutura dedicada localizada nas fontes consultadas; validar antes do contato</x:v>
      </x:c>
      <x:c r="P96" s="12" t="str">
        <x:v>Confirmar acesso ao decisor; depois validar faturamento + CX/CS</x:v>
      </x:c>
      <x:c r="Q96" s="12" t="str">
        <x:v>https://br.linkedin.com/company/m2p-arquitetura-e-engenharia</x:v>
      </x:c>
      <x:c r="R96" s="13" t="n">
        <x:v>46237.625</x:v>
      </x:c>
      <x:c r="S96" s="12" t="str">
        <x:v>Não iniciado</x:v>
      </x:c>
    </x:row>
    <x:row r="97" ht="31" customHeight="1">
      <x:c r="A97" s="11" t="n">
        <x:v>96</x:v>
      </x:c>
      <x:c r="B97" s="11" t="str">
        <x:f>IF(AND(C97&gt;=6,K97="Direto público"),"A",IF(C97&gt;=5,"B","Revisar"))</x:f>
        <x:v>B</x:v>
      </x:c>
      <x:c r="C97" s="11" t="n">
        <x:f>3+IF(K97="Direto público",2,1)+2</x:f>
        <x:v>6</x:v>
      </x:c>
      <x:c r="D97" s="12" t="str">
        <x:v>Alianza Consultoria Empresarial</x:v>
      </x:c>
      <x:c r="E97" s="12" t="str">
        <x:v>Consultoria empresarial</x:v>
      </x:c>
      <x:c r="F97" s="12" t="str">
        <x:v>Brasília</x:v>
      </x:c>
      <x:c r="G97" s="12" t="str">
        <x:v>DF</x:v>
      </x:c>
      <x:c r="H97" s="12" t="str">
        <x:v>Rafael Lodovico</x:v>
      </x:c>
      <x:c r="I97" s="12" t="str">
        <x:v>Liderança / decisor</x:v>
      </x:c>
      <x:c r="J97" s="12" t="str">
        <x:v>Site / LinkedIn</x:v>
      </x:c>
      <x:c r="K97" s="12" t="str">
        <x:v>Institucional</x:v>
      </x:c>
      <x:c r="L97" s="12" t="str">
        <x:v>Alta</x:v>
      </x:c>
      <x:c r="M97" s="12" t="str">
        <x:v>R$ 150–200 mil (proxy)</x:v>
      </x:c>
      <x:c r="N97" s="12" t="str">
        <x:v>11–50 profissionais; consultoria empresarial recorrente</x:v>
      </x:c>
      <x:c r="O97" s="12" t="str">
        <x:v>Sem estrutura dedicada localizada nas fontes consultadas; validar antes do contato</x:v>
      </x:c>
      <x:c r="P97" s="12" t="str">
        <x:v>Confirmar acesso ao decisor; depois validar faturamento + CX/CS</x:v>
      </x:c>
      <x:c r="Q97" s="12" t="str">
        <x:v>https://br.linkedin.com/company/alianza-consultoria-empresarial</x:v>
      </x:c>
      <x:c r="R97" s="13" t="n">
        <x:v>46237.625</x:v>
      </x:c>
      <x:c r="S97" s="12" t="str">
        <x:v>Não iniciado</x:v>
      </x:c>
    </x:row>
    <x:row r="98" ht="31" customHeight="1">
      <x:c r="A98" s="11" t="n">
        <x:v>97</x:v>
      </x:c>
      <x:c r="B98" s="11" t="str">
        <x:f>IF(AND(C98&gt;=6,K98="Direto público"),"A",IF(C98&gt;=5,"B","Revisar"))</x:f>
        <x:v>B</x:v>
      </x:c>
      <x:c r="C98" s="11" t="n">
        <x:f>2+IF(K98="Direto público",2,1)+1</x:f>
        <x:v>5</x:v>
      </x:c>
      <x:c r="D98" s="12" t="str">
        <x:v>YellowTech Consultoria</x:v>
      </x:c>
      <x:c r="E98" s="12" t="str">
        <x:v>Consultoria empresarial</x:v>
      </x:c>
      <x:c r="F98" s="12" t="str">
        <x:v>Brasil (remoto)</x:v>
      </x:c>
      <x:c r="G98" s="12" t="str">
        <x:v>BR</x:v>
      </x:c>
      <x:c r="H98" s="12" t="str">
        <x:v>Rodrigo Censi</x:v>
      </x:c>
      <x:c r="I98" s="12" t="str">
        <x:v>Fundador e proprietário</x:v>
      </x:c>
      <x:c r="J98" s="12" t="str">
        <x:v>Site / WhatsApp</x:v>
      </x:c>
      <x:c r="K98" s="12" t="str">
        <x:v>Direto público</x:v>
      </x:c>
      <x:c r="L98" s="12" t="str">
        <x:v>Média</x:v>
      </x:c>
      <x:c r="M98" s="12" t="str">
        <x:v>R$ 100–150 mil (proxy)</x:v>
      </x:c>
      <x:c r="N98" s="12" t="str">
        <x:v>20+ anos de experiência; reuniões semanais recorrentes</x:v>
      </x:c>
      <x:c r="O98" s="12" t="str">
        <x:v>Sem estrutura dedicada localizada nas fontes consultadas; validar antes do contato</x:v>
      </x:c>
      <x:c r="P98" s="12" t="str">
        <x:v>Contatar o decisor e validar faturamento + ausência de CX/CS</x:v>
      </x:c>
      <x:c r="Q98" s="12" t="str">
        <x:v>https://www.yellowtechconsultoria.com.br/</x:v>
      </x:c>
      <x:c r="R98" s="13" t="n">
        <x:v>46237.625</x:v>
      </x:c>
      <x:c r="S98" s="12" t="str">
        <x:v>Não iniciado</x:v>
      </x:c>
    </x:row>
    <x:row r="99" ht="31" customHeight="1">
      <x:c r="A99" s="11" t="n">
        <x:v>98</x:v>
      </x:c>
      <x:c r="B99" s="11" t="str">
        <x:f>IF(AND(C99&gt;=6,K99="Direto público"),"A",IF(C99&gt;=5,"B","Revisar"))</x:f>
        <x:v>A</x:v>
      </x:c>
      <x:c r="C99" s="11" t="n">
        <x:f>2+IF(K99="Direto público",2,1)+2</x:f>
        <x:v>6</x:v>
      </x:c>
      <x:c r="D99" s="12" t="str">
        <x:v>P&amp;F Gerenciamento de Resíduos Tecnológicos</x:v>
      </x:c>
      <x:c r="E99" s="12" t="str">
        <x:v>Gestão ambiental</x:v>
      </x:c>
      <x:c r="F99" s="12" t="str">
        <x:v>São Paulo</x:v>
      </x:c>
      <x:c r="G99" s="12" t="str">
        <x:v>SP</x:v>
      </x:c>
      <x:c r="H99" s="12" t="str">
        <x:v>Dirceu Galego</x:v>
      </x:c>
      <x:c r="I99" s="12" t="str">
        <x:v>Sócio-fundador</x:v>
      </x:c>
      <x:c r="J99" s="12" t="str">
        <x:v>Site / WhatsApp</x:v>
      </x:c>
      <x:c r="K99" s="12" t="str">
        <x:v>Direto público</x:v>
      </x:c>
      <x:c r="L99" s="12" t="str">
        <x:v>Média</x:v>
      </x:c>
      <x:c r="M99" s="12" t="str">
        <x:v>R$ 150–200 mil (proxy)</x:v>
      </x:c>
      <x:c r="N99" s="12" t="str">
        <x:v>Empresa familiar desde 1998; contratos B2B de descarte</x:v>
      </x:c>
      <x:c r="O99" s="12" t="str">
        <x:v>Sem estrutura dedicada localizada nas fontes consultadas; validar antes do contato</x:v>
      </x:c>
      <x:c r="P99" s="12" t="str">
        <x:v>Contatar o decisor e validar faturamento + ausência de CX/CS</x:v>
      </x:c>
      <x:c r="Q99" s="12" t="str">
        <x:v>https://pf.eco.br/</x:v>
      </x:c>
      <x:c r="R99" s="13" t="n">
        <x:v>46237.625</x:v>
      </x:c>
      <x:c r="S99" s="12" t="str">
        <x:v>Não iniciado</x:v>
      </x:c>
    </x:row>
    <x:row r="100" ht="31" customHeight="1">
      <x:c r="A100" s="11" t="n">
        <x:v>99</x:v>
      </x:c>
      <x:c r="B100" s="11" t="str">
        <x:f>IF(AND(C100&gt;=6,K100="Direto público"),"A",IF(C100&gt;=5,"B","Revisar"))</x:f>
        <x:v>B</x:v>
      </x:c>
      <x:c r="C100" s="11" t="n">
        <x:f>3+IF(K100="Direto público",2,1)+2</x:f>
        <x:v>6</x:v>
      </x:c>
      <x:c r="D100" s="12" t="str">
        <x:v>Grupo Sólido</x:v>
      </x:c>
      <x:c r="E100" s="12" t="str">
        <x:v>Arquitetura/urbanismo</x:v>
      </x:c>
      <x:c r="F100" s="12" t="str">
        <x:v>Brasil</x:v>
      </x:c>
      <x:c r="G100" s="12" t="str">
        <x:v>BR</x:v>
      </x:c>
      <x:c r="H100" s="12" t="str">
        <x:v>Juliano Souto</x:v>
      </x:c>
      <x:c r="I100" s="12" t="str">
        <x:v>Sócio-fundador e diretor de produto</x:v>
      </x:c>
      <x:c r="J100" s="12" t="str">
        <x:v>Site / LinkedIn</x:v>
      </x:c>
      <x:c r="K100" s="12" t="str">
        <x:v>Institucional</x:v>
      </x:c>
      <x:c r="L100" s="12" t="str">
        <x:v>Alta</x:v>
      </x:c>
      <x:c r="M100" s="12" t="str">
        <x:v>R$ 150–200 mil (proxy)</x:v>
      </x:c>
      <x:c r="N100" s="12" t="str">
        <x:v>Equipe estruturada; 300+ projetos desde 2009</x:v>
      </x:c>
      <x:c r="O100" s="12" t="str">
        <x:v>Sem estrutura dedicada localizada nas fontes consultadas; validar antes do contato</x:v>
      </x:c>
      <x:c r="P100" s="12" t="str">
        <x:v>Confirmar acesso ao decisor; depois validar faturamento + CX/CS</x:v>
      </x:c>
      <x:c r="Q100" s="12" t="str">
        <x:v>https://www.solido.arq.br/quem-somos/</x:v>
      </x:c>
      <x:c r="R100" s="13" t="n">
        <x:v>46237.625</x:v>
      </x:c>
      <x:c r="S100" s="12" t="str">
        <x:v>Não iniciado</x:v>
      </x:c>
    </x:row>
    <x:row r="101" ht="31" customHeight="1">
      <x:c r="A101" s="11" t="n">
        <x:v>100</x:v>
      </x:c>
      <x:c r="B101" s="11" t="str">
        <x:f>IF(AND(C101&gt;=6,K101="Direto público"),"A",IF(C101&gt;=5,"B","Revisar"))</x:f>
        <x:v>A</x:v>
      </x:c>
      <x:c r="C101" s="11" t="n">
        <x:f>2+IF(K101="Direto público",2,1)+2</x:f>
        <x:v>6</x:v>
      </x:c>
      <x:c r="D101" s="12" t="str">
        <x:v>Zoccoli Advogados</x:v>
      </x:c>
      <x:c r="E101" s="12" t="str">
        <x:v>Consultoria jurídica empresarial</x:v>
      </x:c>
      <x:c r="F101" s="12" t="str">
        <x:v>Porto Alegre</x:v>
      </x:c>
      <x:c r="G101" s="12" t="str">
        <x:v>RS</x:v>
      </x:c>
      <x:c r="H101" s="12" t="str">
        <x:v>Paulo L. M. Zoccoli</x:v>
      </x:c>
      <x:c r="I101" s="12" t="str">
        <x:v>Fundador</x:v>
      </x:c>
      <x:c r="J101" s="12" t="str">
        <x:v>(51) 99977-7891</x:v>
      </x:c>
      <x:c r="K101" s="12" t="str">
        <x:v>Direto público</x:v>
      </x:c>
      <x:c r="L101" s="12" t="str">
        <x:v>Média</x:v>
      </x:c>
      <x:c r="M101" s="12" t="str">
        <x:v>R$ 150–200 mil (proxy)</x:v>
      </x:c>
      <x:c r="N101" s="12" t="str">
        <x:v>Assessoria empresarial recorrente; equipe de sócios e associados</x:v>
      </x:c>
      <x:c r="O101" s="12" t="str">
        <x:v>Sem estrutura dedicada localizada nas fontes consultadas; validar antes do contato</x:v>
      </x:c>
      <x:c r="P101" s="12" t="str">
        <x:v>Contatar o decisor e validar faturamento + ausência de CX/CS</x:v>
      </x:c>
      <x:c r="Q101" s="12" t="str">
        <x:v>https://zoccoli.com.br/</x:v>
      </x:c>
      <x:c r="R101" s="13" t="n">
        <x:v>46237.625</x:v>
      </x:c>
      <x:c r="S101" s="12" t="str">
        <x:v>Não iniciado</x:v>
      </x:c>
    </x:row>
  </x:sheetData>
  <x:conditionalFormatting sqref="B2:B101">
    <x:cfRule type="containsText" dxfId="0" priority="1" operator="containsText" text="A"/>
    <x:cfRule type="containsText" dxfId="1" priority="2" operator="containsText" text="B"/>
  </x:conditionalFormatting>
  <x:conditionalFormatting sqref="C2:C10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S2:S101">
      <x:formula1>"Não iniciado,Em pesquisa,Contato feito,Reunião marcada,Descartado"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3f02c84beb47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1" hidden="0" customWidth="1"/>
    <x:col min="3" max="3" width="24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82" t="str">
        <x:v>Critérios e método de qualificação</x:v>
      </x:c>
      <x:c r="B1" s="82"/>
      <x:c r="C1" s="82"/>
      <x:c r="D1" s="82"/>
      <x:c r="E1" s="82"/>
      <x:c r="F1" s="82"/>
    </x:row>
    <x:row r="2">
      <x:c r="A2" s="82"/>
      <x:c r="B2" s="82"/>
      <x:c r="C2" s="82"/>
      <x:c r="D2" s="82"/>
      <x:c r="E2" s="82"/>
      <x:c r="F2" s="82"/>
    </x:row>
    <x:row r="4" ht="34" customHeight="1">
      <x:c r="A4" s="84" t="str">
        <x:v>Componente</x:v>
      </x:c>
      <x:c r="B4" s="84" t="str">
        <x:v>Regra</x:v>
      </x:c>
      <x:c r="C4" s="84" t="str">
        <x:v>Pontos</x:v>
      </x:c>
      <x:c r="D4" s="84" t="str">
        <x:v>Aplicação</x:v>
      </x:c>
      <x:c r="E4" s="84" t="str">
        <x:v>Limitação</x:v>
      </x:c>
      <x:c r="F4" s="84" t="str">
        <x:v>Fonte</x:v>
      </x:c>
    </x:row>
    <x:row r="5" ht="34" customHeight="1">
      <x:c r="A5" s="85" t="str">
        <x:v>Confiança de receita</x:v>
      </x:c>
      <x:c r="B5" s="85" t="str">
        <x:v>Alta</x:v>
      </x:c>
      <x:c r="C5" s="85" t="n">
        <x:v>3</x:v>
      </x:c>
      <x:c r="D5" s="85" t="str">
        <x:v>EPP/10–49 + ticket/recorrência forte</x:v>
      </x:c>
      <x:c r="E5" s="85" t="str">
        <x:v>Receita real segue não confirmada</x:v>
      </x:c>
      <x:c r="F5" s="85" t="str">
        <x:v>Relatório fornecido</x:v>
      </x:c>
    </x:row>
    <x:row r="6" ht="34" customHeight="1">
      <x:c r="A6" s="85" t="str">
        <x:v>Confiança de receita</x:v>
      </x:c>
      <x:c r="B6" s="85" t="str">
        <x:v>Média</x:v>
      </x:c>
      <x:c r="C6" s="85" t="n">
        <x:v>2</x:v>
      </x:c>
      <x:c r="D6" s="85" t="str">
        <x:v>Porte e recorrência plausíveis</x:v>
      </x:c>
      <x:c r="E6" s="85" t="str">
        <x:v>Exige validação comercial</x:v>
      </x:c>
      <x:c r="F6" s="85" t="str">
        <x:v>Relatório fornecido</x:v>
      </x:c>
    </x:row>
    <x:row r="7" ht="34" customHeight="1">
      <x:c r="A7" s="85" t="str">
        <x:v>Tipo de contato</x:v>
      </x:c>
      <x:c r="B7" s="85" t="str">
        <x:v>Direto público</x:v>
      </x:c>
      <x:c r="C7" s="85" t="n">
        <x:v>2</x:v>
      </x:c>
      <x:c r="D7" s="85" t="str">
        <x:v>Celular/WhatsApp/e-mail nominal do decisor</x:v>
      </x:c>
      <x:c r="E7" s="85" t="str">
        <x:v>Publicado, não testado</x:v>
      </x:c>
      <x:c r="F7" s="85" t="str">
        <x:v>Relatório fornecido</x:v>
      </x:c>
    </x:row>
    <x:row r="8" ht="34" customHeight="1">
      <x:c r="A8" s="85" t="str">
        <x:v>Tipo de contato</x:v>
      </x:c>
      <x:c r="B8" s="85" t="str">
        <x:v>Institucional</x:v>
      </x:c>
      <x:c r="C8" s="85" t="n">
        <x:v>1</x:v>
      </x:c>
      <x:c r="D8" s="85" t="str">
        <x:v>Telefone/e-mail/formulário da empresa</x:v>
      </x:c>
      <x:c r="E8" s="85" t="str">
        <x:v>Acesso ao decisor deve ser confirmado</x:v>
      </x:c>
      <x:c r="F8" s="85" t="str">
        <x:v>Relatório fornecido</x:v>
      </x:c>
    </x:row>
    <x:row r="9" ht="34" customHeight="1">
      <x:c r="A9" s="85" t="str">
        <x:v>Faixa de receita</x:v>
      </x:c>
      <x:c r="B9" s="85" t="str">
        <x:v>R$150–200 mil (proxy)</x:v>
      </x:c>
      <x:c r="C9" s="85" t="n">
        <x:v>2</x:v>
      </x:c>
      <x:c r="D9" s="85" t="str">
        <x:v>Equipe/ticket/volume mais forte</x:v>
      </x:c>
      <x:c r="E9" s="85" t="str">
        <x:v>Proxy, não balanço</x:v>
      </x:c>
      <x:c r="F9" s="85" t="str">
        <x:v>Relatório fornecido</x:v>
      </x:c>
    </x:row>
    <x:row r="10" ht="34" customHeight="1">
      <x:c r="A10" s="85" t="str">
        <x:v>Faixa de receita</x:v>
      </x:c>
      <x:c r="B10" s="85" t="str">
        <x:v>R$100–150 mil (proxy)</x:v>
      </x:c>
      <x:c r="C10" s="85" t="n">
        <x:v>1</x:v>
      </x:c>
      <x:c r="D10" s="85" t="str">
        <x:v>Operação menor, mas recorrente</x:v>
      </x:c>
      <x:c r="E10" s="85" t="str">
        <x:v>Maior risco de estar abaixo do piso</x:v>
      </x:c>
      <x:c r="F10" s="85" t="str">
        <x:v>Relatório fornecido</x:v>
      </x:c>
    </x:row>
    <x:row r="11" ht="34" customHeight="1">
      <x:c r="A11" s="86"/>
      <x:c r="B11" s="86"/>
      <x:c r="C11" s="86"/>
      <x:c r="D11" s="86"/>
      <x:c r="E11" s="86"/>
      <x:c r="F11" s="86"/>
    </x:row>
    <x:row r="12" ht="34" customHeight="1">
      <x:c r="A12" s="87" t="str">
        <x:v>Grupo</x:v>
      </x:c>
      <x:c r="B12" s="87" t="str">
        <x:v>Condição operacional</x:v>
      </x:c>
      <x:c r="C12" s="87" t="str">
        <x:v>Score</x:v>
      </x:c>
      <x:c r="D12" s="87" t="str">
        <x:v>Contato</x:v>
      </x:c>
      <x:c r="E12" s="87" t="str">
        <x:v>Receita</x:v>
      </x:c>
      <x:c r="F12" s="87" t="str">
        <x:v>Uso recomendado</x:v>
      </x:c>
    </x:row>
    <x:row r="13" ht="34" customHeight="1">
      <x:c r="A13" s="85" t="str">
        <x:v>A</x:v>
      </x:c>
      <x:c r="B13" s="85" t="str">
        <x:v>Score &gt;= 6 e contato direto público</x:v>
      </x:c>
      <x:c r="C13" s="85" t="str">
        <x:v>6–7</x:v>
      </x:c>
      <x:c r="D13" s="85" t="str">
        <x:v>Decisor nomeado + celular/WhatsApp/e-mail nominal</x:v>
      </x:c>
      <x:c r="E13" s="85" t="str">
        <x:v>Média/alta</x:v>
      </x:c>
      <x:c r="F13" s="85" t="str">
        <x:v>Prioridade de abordagem</x:v>
      </x:c>
    </x:row>
    <x:row r="14" ht="34" customHeight="1">
      <x:c r="A14" s="85" t="str">
        <x:v>B</x:v>
      </x:c>
      <x:c r="B14" s="85" t="str">
        <x:v>Score &gt;= 5, sem requisito de contato direto</x:v>
      </x:c>
      <x:c r="C14" s="85" t="str">
        <x:v>5–6</x:v>
      </x:c>
      <x:c r="D14" s="85" t="str">
        <x:v>Decisor nomeado + canal institucional válido</x:v>
      </x:c>
      <x:c r="E14" s="85" t="str">
        <x:v>Média/alta</x:v>
      </x:c>
      <x:c r="F14" s="85" t="str">
        <x:v>Confirmar acesso ao decisor</x:v>
      </x:c>
    </x:row>
    <x:row r="15" ht="34" customHeight="1">
      <x:c r="A15" s="85" t="str">
        <x:v>Exclusão</x:v>
      </x:c>
      <x:c r="B15" s="85" t="str">
        <x:v>CX/CS/atendimento dedicado público</x:v>
      </x:c>
      <x:c r="C15" s="85" t="str">
        <x:v>—</x:v>
      </x:c>
      <x:c r="D15" s="85" t="str">
        <x:v>—</x:v>
      </x:c>
      <x:c r="E15" s="85" t="str">
        <x:v>—</x:v>
      </x:c>
      <x:c r="F15" s="85" t="str">
        <x:v>Não inserir</x:v>
      </x:c>
    </x:row>
    <x:row r="16" ht="34" customHeight="1">
      <x:c r="A16" s="85" t="str">
        <x:v>Exclusão</x:v>
      </x:c>
      <x:c r="B16" s="85" t="str">
        <x:v>Porte claramente acima do teto</x:v>
      </x:c>
      <x:c r="C16" s="85" t="str">
        <x:v>—</x:v>
      </x:c>
      <x:c r="D16" s="85" t="str">
        <x:v>—</x:v>
      </x:c>
      <x:c r="E16" s="85" t="str">
        <x:v>—</x:v>
      </x:c>
      <x:c r="F16" s="85" t="str">
        <x:v>Não inserir</x:v>
      </x:c>
    </x:row>
    <x:row r="17" ht="34" customHeight="1">
      <x:c r="A17" s="85" t="str">
        <x:v>Exclusão</x:v>
      </x:c>
      <x:c r="B17" s="85" t="str">
        <x:v>Inativa, baixada ou inconsistente</x:v>
      </x:c>
      <x:c r="C17" s="85" t="str">
        <x:v>—</x:v>
      </x:c>
      <x:c r="D17" s="85" t="str">
        <x:v>—</x:v>
      </x:c>
      <x:c r="E17" s="85" t="str">
        <x:v>—</x:v>
      </x:c>
      <x:c r="F17" s="85" t="str">
        <x:v>Não inserir</x:v>
      </x:c>
    </x:row>
    <x:row r="18" ht="34" customHeight="1">
      <x:c r="A18" s="85" t="str">
        <x:v>Exclusão</x:v>
      </x:c>
      <x:c r="B18" s="85" t="str">
        <x:v>Já citada no relatório-base</x:v>
      </x:c>
      <x:c r="C18" s="85" t="str">
        <x:v>—</x:v>
      </x:c>
      <x:c r="D18" s="85" t="str">
        <x:v>—</x:v>
      </x:c>
      <x:c r="E18" s="85" t="str">
        <x:v>—</x:v>
      </x:c>
      <x:c r="F18" s="85" t="str">
        <x:v>Não inserir</x:v>
      </x:c>
    </x:row>
    <x:row r="19">
      <x:c r="A19" s="86"/>
      <x:c r="B19" s="86"/>
      <x:c r="C19" s="86"/>
      <x:c r="D19" s="86"/>
      <x:c r="E19" s="86"/>
      <x:c r="F19" s="86"/>
    </x:row>
    <x:row r="20">
      <x:c r="A20" s="88" t="str">
        <x:v>Nota metodológica</x:v>
      </x:c>
      <x:c r="B20" s="88"/>
      <x:c r="C20" s="88"/>
      <x:c r="D20" s="88"/>
      <x:c r="E20" s="88"/>
      <x:c r="F20" s="88"/>
    </x:row>
    <x:row r="21">
      <x:c r="A21" s="77" t="str">
        <x:v>Nenhuma fonte pública confiável oferece faturamento mensal auditado para a maioria das empresas privadas. Por isso, o ranking usa proxies explícitos. A coluna de CX/CS registra apenas que não foi localizada estrutura dedicada nas fontes consultadas; a validação final deve ocorrer antes da prospecção. Contatos são dados empresariais públicos e devem ser usados com abordagem individual, pertinente e compatível com a LGPD.</x:v>
      </x:c>
      <x:c r="B21" s="77"/>
      <x:c r="C21" s="77"/>
      <x:c r="D21" s="77"/>
      <x:c r="E21" s="77"/>
      <x:c r="F21" s="77"/>
    </x:row>
    <x:row r="22">
      <x:c r="A22" s="77"/>
      <x:c r="B22" s="77"/>
      <x:c r="C22" s="77"/>
      <x:c r="D22" s="77"/>
      <x:c r="E22" s="77"/>
      <x:c r="F22" s="77"/>
    </x:row>
    <x:row r="23">
      <x:c r="A23" s="77"/>
      <x:c r="B23" s="77"/>
      <x:c r="C23" s="77"/>
      <x:c r="D23" s="77"/>
      <x:c r="E23" s="77"/>
      <x:c r="F23" s="77"/>
    </x:row>
    <x:row r="24">
      <x:c r="A24" s="77"/>
      <x:c r="B24" s="77"/>
      <x:c r="C24" s="77"/>
      <x:c r="D24" s="77"/>
      <x:c r="E24" s="77"/>
      <x:c r="F24" s="77"/>
    </x:row>
    <x:row r="25">
      <x:c r="A25" s="77"/>
      <x:c r="B25" s="77"/>
      <x:c r="C25" s="77"/>
      <x:c r="D25" s="77"/>
      <x:c r="E25" s="77"/>
      <x:c r="F25" s="77"/>
    </x:row>
  </x:sheetData>
  <x:mergeCells>
    <x:mergeCell ref="A1:F2"/>
    <x:mergeCell ref="A20:F20"/>
    <x:mergeCell ref="A21:F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58" hidden="0" customWidth="1"/>
    <x:col min="3" max="3" width="33" hidden="0" customWidth="1"/>
    <x:col min="4" max="4" width="33" hidden="0" customWidth="1"/>
  </x:cols>
  <x:sheetData>
    <x:row r="1">
      <x:c r="A1" s="82" t="str">
        <x:v>Exclusões aplicadas</x:v>
      </x:c>
      <x:c r="B1" s="82"/>
      <x:c r="C1" s="82"/>
      <x:c r="D1" s="82"/>
    </x:row>
    <x:row r="2">
      <x:c r="A2" s="82"/>
      <x:c r="B2" s="82"/>
      <x:c r="C2" s="82"/>
      <x:c r="D2" s="82"/>
    </x:row>
    <x:row r="4">
      <x:c r="A4" s="84" t="str">
        <x:v>Empresa</x:v>
      </x:c>
      <x:c r="B4" s="84" t="str">
        <x:v>Motivo</x:v>
      </x:c>
      <x:c r="C4" s="84" t="str">
        <x:v>Origem</x:v>
      </x:c>
      <x:c r="D4" s="84" t="str">
        <x:v>Observação</x:v>
      </x:c>
    </x:row>
    <x:row r="5">
      <x:c r="A5" s="85" t="str">
        <x:v>DMS Arquitetura &amp; Engenharia</x:v>
      </x:c>
      <x:c r="B5" s="85" t="str">
        <x:v>Já citada no relatório-base</x:v>
      </x:c>
      <x:c r="C5" s="85" t="str">
        <x:v>Relatório 2026-07-30</x:v>
      </x:c>
      <x:c r="D5" s="85" t="str">
        <x:v>Não reutilizada na lista final</x:v>
      </x:c>
    </x:row>
    <x:row r="6">
      <x:c r="A6" s="85" t="str">
        <x:v>Experta Media</x:v>
      </x:c>
      <x:c r="B6" s="85" t="str">
        <x:v>Já citada no relatório-base</x:v>
      </x:c>
      <x:c r="C6" s="85" t="str">
        <x:v>Relatório 2026-07-30</x:v>
      </x:c>
      <x:c r="D6" s="85" t="str">
        <x:v>Não reutilizada na lista final</x:v>
      </x:c>
    </x:row>
    <x:row r="7">
      <x:c r="A7" s="85" t="str">
        <x:v>Capyba</x:v>
      </x:c>
      <x:c r="B7" s="85" t="str">
        <x:v>Já citada no relatório-base</x:v>
      </x:c>
      <x:c r="C7" s="85" t="str">
        <x:v>Relatório 2026-07-30</x:v>
      </x:c>
      <x:c r="D7" s="85" t="str">
        <x:v>Não reutilizada na lista final</x:v>
      </x:c>
    </x:row>
    <x:row r="8">
      <x:c r="A8" s="85" t="str">
        <x:v>Materialize</x:v>
      </x:c>
      <x:c r="B8" s="85" t="str">
        <x:v>Já citada no relatório-base</x:v>
      </x:c>
      <x:c r="C8" s="85" t="str">
        <x:v>Relatório 2026-07-30</x:v>
      </x:c>
      <x:c r="D8" s="85" t="str">
        <x:v>Não reutilizada na lista final</x:v>
      </x:c>
    </x:row>
    <x:row r="9">
      <x:c r="A9" s="85" t="str">
        <x:v>BPS4</x:v>
      </x:c>
      <x:c r="B9" s="85" t="str">
        <x:v>Já citada no relatório-base</x:v>
      </x:c>
      <x:c r="C9" s="85" t="str">
        <x:v>Relatório 2026-07-30</x:v>
      </x:c>
      <x:c r="D9" s="85" t="str">
        <x:v>Não reutilizada na lista final</x:v>
      </x:c>
    </x:row>
    <x:row r="10">
      <x:c r="A10" s="85" t="str">
        <x:v>Divisio Consultoria</x:v>
      </x:c>
      <x:c r="B10" s="85" t="str">
        <x:v>Já citada no relatório-base</x:v>
      </x:c>
      <x:c r="C10" s="85" t="str">
        <x:v>Relatório 2026-07-30</x:v>
      </x:c>
      <x:c r="D10" s="85" t="str">
        <x:v>Não reutilizada na lista final</x:v>
      </x:c>
    </x:row>
    <x:row r="11">
      <x:c r="A11" s="85" t="str">
        <x:v>AB9</x:v>
      </x:c>
      <x:c r="B11" s="85" t="str">
        <x:v>Já citada no relatório-base</x:v>
      </x:c>
      <x:c r="C11" s="85" t="str">
        <x:v>Relatório 2026-07-30</x:v>
      </x:c>
      <x:c r="D11" s="85" t="str">
        <x:v>Não reutilizada na lista final</x:v>
      </x:c>
    </x:row>
    <x:row r="12">
      <x:c r="A12" s="85" t="str">
        <x:v>Digi&amp;Tal Comunicação</x:v>
      </x:c>
      <x:c r="B12" s="85" t="str">
        <x:v>Já citada no relatório-base</x:v>
      </x:c>
      <x:c r="C12" s="85" t="str">
        <x:v>Relatório 2026-07-30</x:v>
      </x:c>
      <x:c r="D12" s="85" t="str">
        <x:v>Não reutilizada na lista final</x:v>
      </x:c>
    </x:row>
    <x:row r="13">
      <x:c r="A13" s="85" t="str">
        <x:v>Content Marketing Brasil</x:v>
      </x:c>
      <x:c r="B13" s="85" t="str">
        <x:v>Já citada no relatório-base</x:v>
      </x:c>
      <x:c r="C13" s="85" t="str">
        <x:v>Relatório 2026-07-30</x:v>
      </x:c>
      <x:c r="D13" s="85" t="str">
        <x:v>Não reutilizada na lista final</x:v>
      </x:c>
    </x:row>
    <x:row r="14">
      <x:c r="A14" s="85" t="str">
        <x:v>E-Dialog</x:v>
      </x:c>
      <x:c r="B14" s="85" t="str">
        <x:v>Já citada no relatório-base</x:v>
      </x:c>
      <x:c r="C14" s="85" t="str">
        <x:v>Relatório 2026-07-30</x:v>
      </x:c>
      <x:c r="D14" s="85" t="str">
        <x:v>Não reutilizada na lista final</x:v>
      </x:c>
    </x:row>
    <x:row r="15">
      <x:c r="A15" s="85" t="str">
        <x:v>SEO Marketing Brasil</x:v>
      </x:c>
      <x:c r="B15" s="85" t="str">
        <x:v>Já citada no relatório-base</x:v>
      </x:c>
      <x:c r="C15" s="85" t="str">
        <x:v>Relatório 2026-07-30</x:v>
      </x:c>
      <x:c r="D15" s="85" t="str">
        <x:v>Não reutilizada na lista final</x:v>
      </x:c>
    </x:row>
    <x:row r="16">
      <x:c r="A16" s="85" t="str">
        <x:v>Inovarmidia</x:v>
      </x:c>
      <x:c r="B16" s="85" t="str">
        <x:v>Já citada no relatório-base</x:v>
      </x:c>
      <x:c r="C16" s="85" t="str">
        <x:v>Relatório 2026-07-30</x:v>
      </x:c>
      <x:c r="D16" s="85" t="str">
        <x:v>Não reutilizada na lista final</x:v>
      </x:c>
    </x:row>
    <x:row r="17">
      <x:c r="A17" s="85" t="str">
        <x:v>Grupo Vigna Brasil</x:v>
      </x:c>
      <x:c r="B17" s="85" t="str">
        <x:v>Já citada no relatório-base</x:v>
      </x:c>
      <x:c r="C17" s="85" t="str">
        <x:v>Relatório 2026-07-30</x:v>
      </x:c>
      <x:c r="D17" s="85" t="str">
        <x:v>Não reutilizada na lista final</x:v>
      </x:c>
    </x:row>
    <x:row r="18">
      <x:c r="A18" s="85" t="str">
        <x:v>OUTMarketing Brasil</x:v>
      </x:c>
      <x:c r="B18" s="85" t="str">
        <x:v>Já citada no relatório-base</x:v>
      </x:c>
      <x:c r="C18" s="85" t="str">
        <x:v>Relatório 2026-07-30</x:v>
      </x:c>
      <x:c r="D18" s="85" t="str">
        <x:v>Não reutilizada na lista final</x:v>
      </x:c>
    </x:row>
    <x:row r="19">
      <x:c r="A19" s="85" t="str">
        <x:v>Spiner</x:v>
      </x:c>
      <x:c r="B19" s="85" t="str">
        <x:v>Já citada no relatório-base</x:v>
      </x:c>
      <x:c r="C19" s="85" t="str">
        <x:v>Relatório 2026-07-30</x:v>
      </x:c>
      <x:c r="D19" s="85" t="str">
        <x:v>Não reutilizada na lista final</x:v>
      </x:c>
    </x:row>
    <x:row r="20">
      <x:c r="A20" s="85" t="str">
        <x:v>Agência Consultoria Digital</x:v>
      </x:c>
      <x:c r="B20" s="85" t="str">
        <x:v>Já citada no relatório-base</x:v>
      </x:c>
      <x:c r="C20" s="85" t="str">
        <x:v>Relatório 2026-07-30</x:v>
      </x:c>
      <x:c r="D20" s="85" t="str">
        <x:v>Não reutilizada na lista final</x:v>
      </x:c>
    </x:row>
    <x:row r="21">
      <x:c r="A21" s="85" t="str">
        <x:v>Resolver Digital</x:v>
      </x:c>
      <x:c r="B21" s="85" t="str">
        <x:v>Já citada no relatório-base</x:v>
      </x:c>
      <x:c r="C21" s="85" t="str">
        <x:v>Relatório 2026-07-30</x:v>
      </x:c>
      <x:c r="D21" s="85" t="str">
        <x:v>Não reutilizada na lista final</x:v>
      </x:c>
    </x:row>
    <x:row r="22">
      <x:c r="A22" s="85" t="str">
        <x:v>Webcompany</x:v>
      </x:c>
      <x:c r="B22" s="85" t="str">
        <x:v>Já citada no relatório-base</x:v>
      </x:c>
      <x:c r="C22" s="85" t="str">
        <x:v>Relatório 2026-07-30</x:v>
      </x:c>
      <x:c r="D22" s="85" t="str">
        <x:v>Não reutilizada na lista final</x:v>
      </x:c>
    </x:row>
    <x:row r="23">
      <x:c r="A23" s="85" t="str">
        <x:v>DGAZ</x:v>
      </x:c>
      <x:c r="B23" s="85" t="str">
        <x:v>Já citada no relatório-base</x:v>
      </x:c>
      <x:c r="C23" s="85" t="str">
        <x:v>Relatório 2026-07-30</x:v>
      </x:c>
      <x:c r="D23" s="85" t="str">
        <x:v>Não reutilizada na lista final</x:v>
      </x:c>
    </x:row>
    <x:row r="24">
      <x:c r="A24" s="85" t="str">
        <x:v>Pólvora</x:v>
      </x:c>
      <x:c r="B24" s="85" t="str">
        <x:v>Já citada no relatório-base</x:v>
      </x:c>
      <x:c r="C24" s="85" t="str">
        <x:v>Relatório 2026-07-30</x:v>
      </x:c>
      <x:c r="D24" s="85" t="str">
        <x:v>Não reutilizada na lista final</x:v>
      </x:c>
    </x:row>
    <x:row r="25">
      <x:c r="A25" s="85" t="str">
        <x:v>Gracioli</x:v>
      </x:c>
      <x:c r="B25" s="85" t="str">
        <x:v>Já citada no relatório-base</x:v>
      </x:c>
      <x:c r="C25" s="85" t="str">
        <x:v>Relatório 2026-07-30</x:v>
      </x:c>
      <x:c r="D25" s="85" t="str">
        <x:v>Não reutilizada na lista final</x:v>
      </x:c>
    </x:row>
    <x:row r="26">
      <x:c r="A26" s="85" t="str">
        <x:v>Agência Lógica Digital</x:v>
      </x:c>
      <x:c r="B26" s="85" t="str">
        <x:v>Já citada no relatório-base</x:v>
      </x:c>
      <x:c r="C26" s="85" t="str">
        <x:v>Relatório 2026-07-30</x:v>
      </x:c>
      <x:c r="D26" s="85" t="str">
        <x:v>Não reutilizada na lista final</x:v>
      </x:c>
    </x:row>
    <x:row r="27">
      <x:c r="A27" s="85" t="str">
        <x:v>Agência W360</x:v>
      </x:c>
      <x:c r="B27" s="85" t="str">
        <x:v>Já citada no relatório-base</x:v>
      </x:c>
      <x:c r="C27" s="85" t="str">
        <x:v>Relatório 2026-07-30</x:v>
      </x:c>
      <x:c r="D27" s="85" t="str">
        <x:v>Não reutilizada na lista final</x:v>
      </x:c>
    </x:row>
    <x:row r="28">
      <x:c r="A28" s="85" t="str">
        <x:v>Labcodes</x:v>
      </x:c>
      <x:c r="B28" s="85" t="str">
        <x:v>Já citada no relatório-base</x:v>
      </x:c>
      <x:c r="C28" s="85" t="str">
        <x:v>Relatório 2026-07-30</x:v>
      </x:c>
      <x:c r="D28" s="85" t="str">
        <x:v>Não reutilizada na lista final</x:v>
      </x:c>
    </x:row>
    <x:row r="29">
      <x:c r="A29" s="85" t="str">
        <x:v>Taller</x:v>
      </x:c>
      <x:c r="B29" s="85" t="str">
        <x:v>Já citada no relatório-base</x:v>
      </x:c>
      <x:c r="C29" s="85" t="str">
        <x:v>Relatório 2026-07-30</x:v>
      </x:c>
      <x:c r="D29" s="85" t="str">
        <x:v>Não reutilizada na lista final</x:v>
      </x:c>
    </x:row>
    <x:row r="30">
      <x:c r="A30" s="85" t="str">
        <x:v>Jungsoft</x:v>
      </x:c>
      <x:c r="B30" s="85" t="str">
        <x:v>Já citada no relatório-base</x:v>
      </x:c>
      <x:c r="C30" s="85" t="str">
        <x:v>Relatório 2026-07-30</x:v>
      </x:c>
      <x:c r="D30" s="85" t="str">
        <x:v>Não reutilizada na lista final</x:v>
      </x:c>
    </x:row>
    <x:row r="31">
      <x:c r="A31" s="85" t="str">
        <x:v>Animame</x:v>
      </x:c>
      <x:c r="B31" s="85" t="str">
        <x:v>Já citada no relatório-base</x:v>
      </x:c>
      <x:c r="C31" s="85" t="str">
        <x:v>Relatório 2026-07-30</x:v>
      </x:c>
      <x:c r="D31" s="85" t="str">
        <x:v>Não reutilizada na lista final</x:v>
      </x:c>
    </x:row>
    <x:row r="32">
      <x:c r="A32" s="85" t="str">
        <x:v>INTELART</x:v>
      </x:c>
      <x:c r="B32" s="85" t="str">
        <x:v>Já citada no relatório-base</x:v>
      </x:c>
      <x:c r="C32" s="85" t="str">
        <x:v>Relatório 2026-07-30</x:v>
      </x:c>
      <x:c r="D32" s="85" t="str">
        <x:v>Não reutilizada na lista final</x:v>
      </x:c>
    </x:row>
    <x:row r="33">
      <x:c r="A33" s="85" t="str">
        <x:v>Studio61</x:v>
      </x:c>
      <x:c r="B33" s="85" t="str">
        <x:v>Já citada no relatório-base</x:v>
      </x:c>
      <x:c r="C33" s="85" t="str">
        <x:v>Relatório 2026-07-30</x:v>
      </x:c>
      <x:c r="D33" s="85" t="str">
        <x:v>Não reutilizada na lista final</x:v>
      </x:c>
    </x:row>
    <x:row r="34">
      <x:c r="A34" s="85" t="str">
        <x:v>noblinddz</x:v>
      </x:c>
      <x:c r="B34" s="85" t="str">
        <x:v>Já citada no relatório-base</x:v>
      </x:c>
      <x:c r="C34" s="85" t="str">
        <x:v>Relatório 2026-07-30</x:v>
      </x:c>
      <x:c r="D34" s="85" t="str">
        <x:v>Não reutilizada na lista final</x:v>
      </x:c>
    </x:row>
    <x:row r="35">
      <x:c r="A35" s="85" t="str">
        <x:v>Agência Linka</x:v>
      </x:c>
      <x:c r="B35" s="85" t="str">
        <x:v>Já citada no relatório-base</x:v>
      </x:c>
      <x:c r="C35" s="85" t="str">
        <x:v>Relatório 2026-07-30</x:v>
      </x:c>
      <x:c r="D35" s="85" t="str">
        <x:v>Não reutilizada na lista final</x:v>
      </x:c>
    </x:row>
    <x:row r="36">
      <x:c r="A36" s="85" t="str">
        <x:v>Agência Gaia</x:v>
      </x:c>
      <x:c r="B36" s="85" t="str">
        <x:v>Já citada no relatório-base</x:v>
      </x:c>
      <x:c r="C36" s="85" t="str">
        <x:v>Relatório 2026-07-30</x:v>
      </x:c>
      <x:c r="D36" s="85" t="str">
        <x:v>Não reutilizada na lista final</x:v>
      </x:c>
    </x:row>
    <x:row r="37">
      <x:c r="A37" s="85" t="str">
        <x:v>DataSpoc</x:v>
      </x:c>
      <x:c r="B37" s="85" t="str">
        <x:v>Já citada no relatório-base</x:v>
      </x:c>
      <x:c r="C37" s="85" t="str">
        <x:v>Relatório 2026-07-30</x:v>
      </x:c>
      <x:c r="D37" s="85" t="str">
        <x:v>Não reutilizada na lista final</x:v>
      </x:c>
    </x:row>
    <x:row r="38">
      <x:c r="A38" s="85" t="str">
        <x:v>Studica/Electric Monkeys</x:v>
      </x:c>
      <x:c r="B38" s="85" t="str">
        <x:v>Já citada no relatório-base</x:v>
      </x:c>
      <x:c r="C38" s="85" t="str">
        <x:v>Relatório 2026-07-30</x:v>
      </x:c>
      <x:c r="D38" s="85" t="str">
        <x:v>Não reutilizada na lista final</x:v>
      </x:c>
    </x:row>
    <x:row r="39">
      <x:c r="A39" s="85" t="str">
        <x:v>Extractify</x:v>
      </x:c>
      <x:c r="B39" s="85" t="str">
        <x:v>Já citada no relatório-base</x:v>
      </x:c>
      <x:c r="C39" s="85" t="str">
        <x:v>Relatório 2026-07-30</x:v>
      </x:c>
      <x:c r="D39" s="85" t="str">
        <x:v>Não reutilizada na lista final</x:v>
      </x:c>
    </x:row>
    <x:row r="40">
      <x:c r="A40" s="85" t="str">
        <x:v>OPUS</x:v>
      </x:c>
      <x:c r="B40" s="85" t="str">
        <x:v>Já citada no relatório-base</x:v>
      </x:c>
      <x:c r="C40" s="85" t="str">
        <x:v>Relatório 2026-07-30</x:v>
      </x:c>
      <x:c r="D40" s="85" t="str">
        <x:v>Não reutilizada na lista final</x:v>
      </x:c>
    </x:row>
    <x:row r="41">
      <x:c r="A41" s="85" t="str">
        <x:v>Agregar Gestão de Pessoas</x:v>
      </x:c>
      <x:c r="B41" s="85" t="str">
        <x:v>Já citada no relatório-base</x:v>
      </x:c>
      <x:c r="C41" s="85" t="str">
        <x:v>Relatório 2026-07-30</x:v>
      </x:c>
      <x:c r="D41" s="85" t="str">
        <x:v>Não reutilizada na lista final</x:v>
      </x:c>
    </x:row>
    <x:row r="42">
      <x:c r="A42" s="85" t="str">
        <x:v>Rever Consulting</x:v>
      </x:c>
      <x:c r="B42" s="85" t="str">
        <x:v>Já citada no relatório-base</x:v>
      </x:c>
      <x:c r="C42" s="85" t="str">
        <x:v>Relatório 2026-07-30</x:v>
      </x:c>
      <x:c r="D42" s="85" t="str">
        <x:v>Não reutilizada na lista final</x:v>
      </x:c>
    </x:row>
    <x:row r="43">
      <x:c r="A43" s="85" t="str">
        <x:v>Mirow &amp; Co.</x:v>
      </x:c>
      <x:c r="B43" s="85" t="str">
        <x:v>Já citada no relatório-base</x:v>
      </x:c>
      <x:c r="C43" s="85" t="str">
        <x:v>Relatório 2026-07-30</x:v>
      </x:c>
      <x:c r="D43" s="85" t="str">
        <x:v>Não reutilizada na lista final</x:v>
      </x:c>
    </x:row>
    <x:row r="44">
      <x:c r="A44" s="85" t="str">
        <x:v>GQTech</x:v>
      </x:c>
      <x:c r="B44" s="85" t="str">
        <x:v>Já citada no relatório-base</x:v>
      </x:c>
      <x:c r="C44" s="85" t="str">
        <x:v>Relatório 2026-07-30</x:v>
      </x:c>
      <x:c r="D44" s="85" t="str">
        <x:v>Não reutilizada na lista final</x:v>
      </x:c>
    </x:row>
    <x:row r="45">
      <x:c r="A45" s="85" t="str">
        <x:v>Promáxima</x:v>
      </x:c>
      <x:c r="B45" s="85" t="str">
        <x:v>Já citada no relatório-base</x:v>
      </x:c>
      <x:c r="C45" s="85" t="str">
        <x:v>Relatório 2026-07-30</x:v>
      </x:c>
      <x:c r="D45" s="85" t="str">
        <x:v>Não reutilizada na lista final</x:v>
      </x:c>
    </x:row>
    <x:row r="46">
      <x:c r="A46" s="85" t="str">
        <x:v>CONTEC</x:v>
      </x:c>
      <x:c r="B46" s="85" t="str">
        <x:v>Já citada no relatório-base</x:v>
      </x:c>
      <x:c r="C46" s="85" t="str">
        <x:v>Relatório 2026-07-30</x:v>
      </x:c>
      <x:c r="D46" s="85" t="str">
        <x:v>Não reutilizada na lista final</x:v>
      </x:c>
    </x:row>
    <x:row r="47">
      <x:c r="A47" s="85" t="str">
        <x:v>Logos Engenharia</x:v>
      </x:c>
      <x:c r="B47" s="85" t="str">
        <x:v>Já citada no relatório-base</x:v>
      </x:c>
      <x:c r="C47" s="85" t="str">
        <x:v>Relatório 2026-07-30</x:v>
      </x:c>
      <x:c r="D47" s="85" t="str">
        <x:v>Não reutilizada na lista final</x:v>
      </x:c>
    </x:row>
    <x:row r="48">
      <x:c r="A48" s="85" t="str">
        <x:v>Catavento</x:v>
      </x:c>
      <x:c r="B48" s="85" t="str">
        <x:v>Já citada no relatório-base</x:v>
      </x:c>
      <x:c r="C48" s="85" t="str">
        <x:v>Relatório 2026-07-30</x:v>
      </x:c>
      <x:c r="D48" s="85" t="str">
        <x:v>Não reutilizada na lista final</x:v>
      </x:c>
    </x:row>
    <x:row r="49">
      <x:c r="A49" s="85" t="str">
        <x:v>Addunt</x:v>
      </x:c>
      <x:c r="B49" s="85" t="str">
        <x:v>Já citada no relatório-base</x:v>
      </x:c>
      <x:c r="C49" s="85" t="str">
        <x:v>Relatório 2026-07-30</x:v>
      </x:c>
      <x:c r="D49" s="85" t="str">
        <x:v>Não reutilizada na lista final</x:v>
      </x:c>
    </x:row>
    <x:row r="50">
      <x:c r="A50" s="85" t="str">
        <x:v>Parafernalia</x:v>
      </x:c>
      <x:c r="B50" s="85" t="str">
        <x:v>Já citada no relatório-base</x:v>
      </x:c>
      <x:c r="C50" s="85" t="str">
        <x:v>Relatório 2026-07-30</x:v>
      </x:c>
      <x:c r="D50" s="85" t="str">
        <x:v>Não reutilizada na lista final</x:v>
      </x:c>
    </x:row>
    <x:row r="51">
      <x:c r="A51" s="85" t="str">
        <x:v>Liven</x:v>
      </x:c>
      <x:c r="B51" s="85" t="str">
        <x:v>Já citada no relatório-base</x:v>
      </x:c>
      <x:c r="C51" s="85" t="str">
        <x:v>Relatório 2026-07-30</x:v>
      </x:c>
      <x:c r="D51" s="85" t="str">
        <x:v>Não reutilizada na lista final</x:v>
      </x:c>
    </x:row>
    <x:row r="52">
      <x:c r="A52" s="85" t="str">
        <x:v>SMT</x:v>
      </x:c>
      <x:c r="B52" s="85" t="str">
        <x:v>Já citada no relatório-base</x:v>
      </x:c>
      <x:c r="C52" s="85" t="str">
        <x:v>Relatório 2026-07-30</x:v>
      </x:c>
      <x:c r="D52" s="85" t="str">
        <x:v>Não reutilizada na lista final</x:v>
      </x:c>
    </x:row>
    <x:row r="53">
      <x:c r="A53" s="85" t="str">
        <x:v>FlowCode</x:v>
      </x:c>
      <x:c r="B53" s="85" t="str">
        <x:v>Já citada no relatório-base</x:v>
      </x:c>
      <x:c r="C53" s="85" t="str">
        <x:v>Relatório 2026-07-30</x:v>
      </x:c>
      <x:c r="D53" s="85" t="str">
        <x:v>Não reutilizada na lista final</x:v>
      </x:c>
    </x:row>
    <x:row r="54">
      <x:c r="A54" s="85" t="str">
        <x:v>Dois na Oito</x:v>
      </x:c>
      <x:c r="B54" s="85" t="str">
        <x:v>Já citada no relatório-base</x:v>
      </x:c>
      <x:c r="C54" s="85" t="str">
        <x:v>Relatório 2026-07-30</x:v>
      </x:c>
      <x:c r="D54" s="85" t="str">
        <x:v>Não reutilizada na lista final</x:v>
      </x:c>
    </x:row>
    <x:row r="55">
      <x:c r="A55" s="85" t="str">
        <x:v>Dotcode</x:v>
      </x:c>
      <x:c r="B55" s="85" t="str">
        <x:v>Já citada no relatório-base</x:v>
      </x:c>
      <x:c r="C55" s="85" t="str">
        <x:v>Relatório 2026-07-30</x:v>
      </x:c>
      <x:c r="D55" s="85" t="str">
        <x:v>Não reutilizada na lista final</x:v>
      </x:c>
    </x:row>
    <x:row r="56">
      <x:c r="A56" s="85" t="str">
        <x:v>Bytebio</x:v>
      </x:c>
      <x:c r="B56" s="85" t="str">
        <x:v>Já citada no relatório-base</x:v>
      </x:c>
      <x:c r="C56" s="85" t="str">
        <x:v>Relatório 2026-07-30</x:v>
      </x:c>
      <x:c r="D56" s="85" t="str">
        <x:v>Não reutilizada na lista final</x:v>
      </x:c>
    </x:row>
    <x:row r="57">
      <x:c r="A57" s="85" t="str">
        <x:v>Gravity</x:v>
      </x:c>
      <x:c r="B57" s="85" t="str">
        <x:v>Já citada no relatório-base</x:v>
      </x:c>
      <x:c r="C57" s="85" t="str">
        <x:v>Relatório 2026-07-30</x:v>
      </x:c>
      <x:c r="D57" s="85" t="str">
        <x:v>Não reutilizada na lista final</x:v>
      </x:c>
    </x:row>
    <x:row r="58">
      <x:c r="A58" s="85" t="str">
        <x:v>Quality SMI</x:v>
      </x:c>
      <x:c r="B58" s="85" t="str">
        <x:v>Já citada no relatório-base</x:v>
      </x:c>
      <x:c r="C58" s="85" t="str">
        <x:v>Relatório 2026-07-30</x:v>
      </x:c>
      <x:c r="D58" s="85" t="str">
        <x:v>Não reutilizada na lista final</x:v>
      </x:c>
    </x:row>
    <x:row r="59">
      <x:c r="A59" s="85" t="str">
        <x:v>CMLO&amp;CO</x:v>
      </x:c>
      <x:c r="B59" s="85" t="str">
        <x:v>Já citada no relatório-base</x:v>
      </x:c>
      <x:c r="C59" s="85" t="str">
        <x:v>Relatório 2026-07-30</x:v>
      </x:c>
      <x:c r="D59" s="85" t="str">
        <x:v>Não reutilizada na lista final</x:v>
      </x:c>
    </x:row>
    <x:row r="60">
      <x:c r="A60" s="85" t="str">
        <x:v>Olivas Digital</x:v>
      </x:c>
      <x:c r="B60" s="85" t="str">
        <x:v>Já citada no relatório-base</x:v>
      </x:c>
      <x:c r="C60" s="85" t="str">
        <x:v>Relatório 2026-07-30</x:v>
      </x:c>
      <x:c r="D60" s="85" t="str">
        <x:v>Não reutilizada na lista final</x:v>
      </x:c>
    </x:row>
    <x:row r="61">
      <x:c r="A61" s="85" t="str">
        <x:v>JMV</x:v>
      </x:c>
      <x:c r="B61" s="85" t="str">
        <x:v>Já citada no relatório-base</x:v>
      </x:c>
      <x:c r="C61" s="85" t="str">
        <x:v>Relatório 2026-07-30</x:v>
      </x:c>
      <x:c r="D61" s="85" t="str">
        <x:v>Não reutilizada na lista final</x:v>
      </x:c>
    </x:row>
    <x:row r="62">
      <x:c r="A62" s="85" t="str">
        <x:v>Amplie</x:v>
      </x:c>
      <x:c r="B62" s="85" t="str">
        <x:v>Já citada no relatório-base</x:v>
      </x:c>
      <x:c r="C62" s="85" t="str">
        <x:v>Relatório 2026-07-30</x:v>
      </x:c>
      <x:c r="D62" s="85" t="str">
        <x:v>Não reutilizada na lista final</x:v>
      </x:c>
    </x:row>
    <x:row r="63">
      <x:c r="A63" s="85" t="str">
        <x:v>Ginga</x:v>
      </x:c>
      <x:c r="B63" s="85" t="str">
        <x:v>Já citada no relatório-base</x:v>
      </x:c>
      <x:c r="C63" s="85" t="str">
        <x:v>Relatório 2026-07-30</x:v>
      </x:c>
      <x:c r="D63" s="85" t="str">
        <x:v>Não reutilizada na lista final</x:v>
      </x:c>
    </x:row>
    <x:row r="64">
      <x:c r="A64" s="85" t="str">
        <x:v>Huia/Stefanini</x:v>
      </x:c>
      <x:c r="B64" s="85" t="str">
        <x:v>Já citada no relatório-base</x:v>
      </x:c>
      <x:c r="C64" s="85" t="str">
        <x:v>Relatório 2026-07-30</x:v>
      </x:c>
      <x:c r="D64" s="85" t="str">
        <x:v>Não reutilizada na lista final</x:v>
      </x:c>
    </x:row>
    <x:row r="65">
      <x:c r="A65" s="85" t="str">
        <x:v>PECKDISH</x:v>
      </x:c>
      <x:c r="B65" s="85" t="str">
        <x:v>Já citada no relatório-base</x:v>
      </x:c>
      <x:c r="C65" s="85" t="str">
        <x:v>Relatório 2026-07-30</x:v>
      </x:c>
      <x:c r="D65" s="85" t="str">
        <x:v>Não reutilizada na lista final</x:v>
      </x:c>
    </x:row>
    <x:row r="66">
      <x:c r="A66" s="85" t="str">
        <x:v>Gaas Ideias</x:v>
      </x:c>
      <x:c r="B66" s="85" t="str">
        <x:v>Já citada no relatório-base</x:v>
      </x:c>
      <x:c r="C66" s="85" t="str">
        <x:v>Relatório 2026-07-30</x:v>
      </x:c>
      <x:c r="D66" s="85" t="str">
        <x:v>Não reutilizada na lista final</x:v>
      </x:c>
    </x:row>
    <x:row r="67">
      <x:c r="A67" s="85" t="str">
        <x:v>Ocupe Digital</x:v>
      </x:c>
      <x:c r="B67" s="85" t="str">
        <x:v>Já citada no relatório-base</x:v>
      </x:c>
      <x:c r="C67" s="85" t="str">
        <x:v>Relatório 2026-07-30</x:v>
      </x:c>
      <x:c r="D67" s="85" t="str">
        <x:v>Não reutilizada na lista final</x:v>
      </x:c>
    </x:row>
    <x:row r="68">
      <x:c r="A68" s="85" t="str">
        <x:v>Switch Dreams</x:v>
      </x:c>
      <x:c r="B68" s="85" t="str">
        <x:v>Receita anual estimada em diretório abaixo do piso mensal do ICP</x:v>
      </x:c>
      <x:c r="C68" s="85" t="str">
        <x:v>Pesquisa 2026-08-03</x:v>
      </x:c>
      <x:c r="D68" s="85" t="str">
        <x:v>Exclusão adicional</x:v>
      </x:c>
    </x:row>
    <x:row r="69">
      <x:c r="A69" s="85" t="str">
        <x:v>Hack4Change</x:v>
      </x:c>
      <x:c r="B69" s="85" t="str">
        <x:v>Receita pública estimada abaixo do ICP e apenas 1 funcionário</x:v>
      </x:c>
      <x:c r="C69" s="85" t="str">
        <x:v>Pesquisa 2026-08-03</x:v>
      </x:c>
      <x:c r="D69" s="85" t="str">
        <x:v>Exclusão adicional</x:v>
      </x:c>
    </x:row>
    <x:row r="70">
      <x:c r="A70" s="85" t="str">
        <x:v>Midiatix</x:v>
      </x:c>
      <x:c r="B70" s="85" t="str">
        <x:v>Receita pública estimada abaixo do ICP e operação muito enxuta</x:v>
      </x:c>
      <x:c r="C70" s="85" t="str">
        <x:v>Pesquisa 2026-08-03</x:v>
      </x:c>
      <x:c r="D70" s="85" t="str">
        <x:v>Exclusão adicional</x:v>
      </x:c>
    </x:row>
    <x:row r="71">
      <x:c r="A71" s="85" t="str">
        <x:v>Agência Trii</x:v>
      </x:c>
      <x:c r="B71" s="85" t="str">
        <x:v>Atendimento administrativo/técnico dedicado, portal e ouvidoria</x:v>
      </x:c>
      <x:c r="C71" s="85" t="str">
        <x:v>Pesquisa 2026-08-03</x:v>
      </x:c>
      <x:c r="D71" s="85" t="str">
        <x:v>Exclusão adicional</x:v>
      </x:c>
    </x:row>
    <x:row r="72">
      <x:c r="A72" s="85" t="str">
        <x:v>SERAC</x:v>
      </x:c>
      <x:c r="B72" s="85" t="str">
        <x:v>300+ colaboradores e 3.500 clientes recorrentes</x:v>
      </x:c>
      <x:c r="C72" s="85" t="str">
        <x:v>Pesquisa 2026-08-03</x:v>
      </x:c>
      <x:c r="D72" s="85" t="str">
        <x:v>Exclusão adicional</x:v>
      </x:c>
    </x:row>
    <x:row r="73">
      <x:c r="A73" s="85" t="str">
        <x:v>Personare RH</x:v>
      </x:c>
      <x:c r="B73" s="85" t="str">
        <x:v>1.001–5.000 profissionais</x:v>
      </x:c>
      <x:c r="C73" s="85" t="str">
        <x:v>Pesquisa 2026-08-03</x:v>
      </x:c>
      <x:c r="D73" s="85" t="str">
        <x:v>Exclusão adicional</x:v>
      </x:c>
    </x:row>
    <x:row r="74">
      <x:c r="A74" s="85" t="str">
        <x:v>Conceito RH</x:v>
      </x:c>
      <x:c r="B74" s="85" t="str">
        <x:v>Situação cadastral baixada</x:v>
      </x:c>
      <x:c r="C74" s="85" t="str">
        <x:v>Pesquisa 2026-08-03</x:v>
      </x:c>
      <x:c r="D74" s="85" t="str">
        <x:v>Exclusão adicional</x:v>
      </x:c>
    </x:row>
    <x:row r="75">
      <x:c r="A75" s="85" t="str">
        <x:v>Golden Service RH</x:v>
      </x:c>
      <x:c r="B75" s="85" t="str">
        <x:v>51–200 profissionais</x:v>
      </x:c>
      <x:c r="C75" s="85" t="str">
        <x:v>Pesquisa 2026-08-03</x:v>
      </x:c>
      <x:c r="D75" s="85" t="str">
        <x:v>Exclusão adicional</x:v>
      </x:c>
    </x:row>
    <x:row r="76">
      <x:c r="A76" s="85" t="str">
        <x:v>Agência Varejo MKT</x:v>
      </x:c>
      <x:c r="B76" s="85" t="str">
        <x:v>25+ pessoas, 65 clientes ativos e estrutura departamentalizada</x:v>
      </x:c>
      <x:c r="C76" s="85" t="str">
        <x:v>Pesquisa 2026-08-03</x:v>
      </x:c>
      <x:c r="D76" s="85" t="str">
        <x:v>Exclusão adicional</x:v>
      </x:c>
    </x:row>
    <x:row r="77">
      <x:c r="A77" s="85" t="str">
        <x:v>Vista/pub</x:v>
      </x:c>
      <x:c r="B77" s="85" t="str">
        <x:v>Função pública de Customer Service localizada</x:v>
      </x:c>
      <x:c r="C77" s="85" t="str">
        <x:v>Pesquisa 2026-08-03</x:v>
      </x:c>
      <x:c r="D77" s="85" t="str">
        <x:v>Exclusão adicional</x:v>
      </x:c>
    </x:row>
  </x:sheetData>
  <x:mergeCells>
    <x:mergeCell ref="A1:D2"/>
  </x:mergeCells>
  <x:pageMargins left="0.7" right="0.7" top="0.75" bottom="0.75" header="0.3" footer="0.3"/>
</x:worksheet>
</file>